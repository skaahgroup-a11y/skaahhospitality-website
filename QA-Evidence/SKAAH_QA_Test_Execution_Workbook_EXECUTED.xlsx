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Dashboard" sheetId="1" state="visible" r:id="rId1"/>
    <sheet name="1-Code-Audit" sheetId="2" state="visible" r:id="rId2"/>
    <sheet name="2-Content-Claims" sheetId="3" state="visible" r:id="rId3"/>
    <sheet name="3-Functional-Enquiry" sheetId="4" state="visible" r:id="rId4"/>
    <sheet name="4-SEO-Schema" sheetId="5" state="visible" r:id="rId5"/>
    <sheet name="5-Performance" sheetId="6" state="visible" r:id="rId6"/>
    <sheet name="6-Accessibility" sheetId="7" state="visible" r:id="rId7"/>
    <sheet name="7-Security-Residency" sheetId="8" state="visible" r:id="rId8"/>
    <sheet name="8-Compat-Matrix" sheetId="9" state="visible" r:id="rId9"/>
    <sheet name="9-CMS-Editorial" sheetId="10" state="visible" r:id="rId10"/>
    <sheet name="10-Deploy-Ops" sheetId="11" state="visible" r:id="rId11"/>
    <sheet name="11-Launch-Gate" sheetId="12" state="visible" r:id="rId12"/>
  </sheets>
  <definedNames/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164069"/>
      <sz val="14"/>
    </font>
    <font>
      <name val="Arial"/>
      <charset val="1"/>
      <family val="0"/>
      <sz val="10"/>
    </font>
    <font>
      <name val="Arial"/>
      <charset val="1"/>
      <family val="0"/>
      <b val="1"/>
      <color rgb="FF164069"/>
      <sz val="10"/>
    </font>
    <font>
      <name val="Arial"/>
      <charset val="1"/>
      <family val="0"/>
      <b val="1"/>
      <color rgb="FFFFFFFF"/>
      <sz val="9"/>
    </font>
    <font>
      <name val="Arial"/>
      <charset val="1"/>
      <family val="0"/>
      <sz val="9"/>
    </font>
    <font>
      <name val="Arial"/>
      <charset val="1"/>
      <family val="0"/>
      <b val="1"/>
      <color rgb="FFFFFFFF"/>
      <sz val="10"/>
    </font>
    <font>
      <name val="Arial"/>
      <charset val="1"/>
      <family val="0"/>
      <b val="1"/>
      <color rgb="FF1E6E52"/>
      <sz val="11"/>
    </font>
  </fonts>
  <fills count="4">
    <fill>
      <patternFill/>
    </fill>
    <fill>
      <patternFill patternType="gray125"/>
    </fill>
    <fill>
      <patternFill patternType="solid">
        <fgColor rgb="FF164069"/>
        <bgColor rgb="FF333399"/>
      </patternFill>
    </fill>
    <fill>
      <patternFill patternType="solid">
        <fgColor rgb="FFFDF6E3"/>
        <bgColor rgb="FFFFFFFF"/>
      </patternFill>
    </fill>
  </fills>
  <borders count="2">
    <border>
      <left/>
      <right/>
      <top/>
      <bottom/>
      <diagonal/>
    </border>
    <border>
      <left style="thin">
        <color rgb="FFC9D2DA"/>
      </left>
      <right style="thin">
        <color rgb="FFC9D2DA"/>
      </right>
      <top style="thin">
        <color rgb="FFC9D2DA"/>
      </top>
      <bottom style="thin">
        <color rgb="FFC9D2DA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43">
    <xf numFmtId="0" fontId="0" fillId="0" borderId="0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0" fontId="8" fillId="3" borderId="1" applyAlignment="1" pivotButton="0" quotePrefix="0" xfId="0">
      <alignment horizontal="general" vertical="bottom"/>
    </xf>
    <xf numFmtId="0" fontId="6" fillId="0" borderId="0" applyAlignment="1" pivotButton="0" quotePrefix="0" xfId="0">
      <alignment horizontal="general" vertical="bottom"/>
    </xf>
    <xf numFmtId="0" fontId="9" fillId="2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9" fillId="2" borderId="1" applyAlignment="1" pivotButton="0" quotePrefix="0" xfId="0">
      <alignment horizontal="general" vertical="center"/>
    </xf>
    <xf numFmtId="0" fontId="5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general" vertical="top" wrapText="1"/>
    </xf>
    <xf numFmtId="0" fontId="5" fillId="3" borderId="1" applyAlignment="1" pivotButton="0" quotePrefix="0" xfId="0">
      <alignment horizontal="center" vertical="top"/>
    </xf>
    <xf numFmtId="0" fontId="5" fillId="3" borderId="1" applyAlignment="1" pivotButton="0" quotePrefix="0" xfId="0">
      <alignment horizontal="general" vertical="top" wrapText="1"/>
    </xf>
    <xf numFmtId="0" fontId="0" fillId="3" borderId="1" applyAlignment="1" pivotButton="0" quotePrefix="0" xfId="0">
      <alignment horizontal="general" vertical="top" wrapText="1"/>
    </xf>
    <xf numFmtId="0" fontId="9" fillId="2" borderId="0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0" borderId="0" applyAlignment="1" pivotButton="0" quotePrefix="0" xfId="0">
      <alignment horizontal="general" vertical="bottom"/>
    </xf>
    <xf numFmtId="0" fontId="5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top" wrapText="1"/>
    </xf>
    <xf numFmtId="0" fontId="6" fillId="0" borderId="0" applyAlignment="1" pivotButton="0" quotePrefix="0" xfId="0">
      <alignment horizontal="general" vertical="bottom"/>
    </xf>
    <xf numFmtId="0" fontId="7" fillId="2" borderId="1" applyAlignment="1" pivotButton="0" quotePrefix="0" xfId="0">
      <alignment horizontal="general" vertical="bottom"/>
    </xf>
    <xf numFmtId="0" fontId="8" fillId="0" borderId="1" applyAlignment="1" pivotButton="0" quotePrefix="0" xfId="0">
      <alignment horizontal="general" vertical="bottom"/>
    </xf>
    <xf numFmtId="0" fontId="8" fillId="3" borderId="1" applyAlignment="1" pivotButton="0" quotePrefix="0" xfId="0">
      <alignment horizontal="general" vertical="bottom"/>
    </xf>
    <xf numFmtId="0" fontId="9" fillId="2" borderId="1" applyAlignment="1" pivotButton="0" quotePrefix="0" xfId="0">
      <alignment horizontal="general" vertical="bottom"/>
    </xf>
    <xf numFmtId="0" fontId="5" fillId="0" borderId="1" applyAlignment="1" pivotButton="0" quotePrefix="0" xfId="0">
      <alignment horizontal="general" vertical="bottom"/>
    </xf>
    <xf numFmtId="0" fontId="6" fillId="0" borderId="1" applyAlignment="1" pivotButton="0" quotePrefix="0" xfId="0">
      <alignment horizontal="general" vertical="bottom"/>
    </xf>
    <xf numFmtId="0" fontId="10" fillId="0" borderId="0" applyAlignment="1" pivotButton="0" quotePrefix="0" xfId="0">
      <alignment horizontal="general" vertical="bottom"/>
    </xf>
    <xf numFmtId="0" fontId="9" fillId="2" borderId="1" applyAlignment="1" pivotButton="0" quotePrefix="0" xfId="0">
      <alignment horizontal="general" vertical="center"/>
    </xf>
    <xf numFmtId="0" fontId="5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general" vertical="top" wrapText="1"/>
    </xf>
    <xf numFmtId="0" fontId="5" fillId="3" borderId="1" applyAlignment="1" pivotButton="0" quotePrefix="0" xfId="0">
      <alignment horizontal="center" vertical="top"/>
    </xf>
    <xf numFmtId="0" fontId="5" fillId="3" borderId="1" applyAlignment="1" pivotButton="0" quotePrefix="0" xfId="0">
      <alignment horizontal="general" vertical="top" wrapText="1"/>
    </xf>
    <xf numFmtId="0" fontId="0" fillId="3" borderId="1" applyAlignment="1" pivotButton="0" quotePrefix="0" xfId="0">
      <alignment horizontal="general" vertical="top" wrapText="1"/>
    </xf>
    <xf numFmtId="0" fontId="9" fillId="2" borderId="0" applyAlignment="1" pivotButton="0" quotePrefix="0" xfId="0">
      <alignment horizontal="general" vertical="bottom"/>
    </xf>
    <xf numFmtId="0" fontId="0" fillId="3" borderId="1" applyAlignment="1" pivotButton="0" quotePrefix="0" xfId="0">
      <alignment horizontal="general" vertical="bottom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1E6E52"/>
      <rgbColor rgb="FFC0C0C0"/>
      <rgbColor rgb="FF808080"/>
      <rgbColor rgb="FF9999FF"/>
      <rgbColor rgb="FF993366"/>
      <rgbColor rgb="FFFDF6E3"/>
      <rgbColor rgb="FFCCFFFF"/>
      <rgbColor rgb="FF660066"/>
      <rgbColor rgb="FFFF8080"/>
      <rgbColor rgb="FF0066CC"/>
      <rgbColor rgb="FFC9D2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64069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K26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26" customWidth="1" style="22" min="1" max="1"/>
    <col width="9" customWidth="1" style="22" min="2" max="4"/>
    <col width="10" customWidth="1" style="22" min="5" max="5"/>
    <col width="8" customWidth="1" style="22" min="6" max="6"/>
    <col width="9" customWidth="1" style="22" min="7" max="7"/>
    <col width="13" customWidth="1" style="22" min="8" max="8"/>
    <col width="12" customWidth="1" style="22" min="9" max="9"/>
  </cols>
  <sheetData>
    <row r="1" ht="17.35" customHeight="1" s="23">
      <c r="A1" s="24" t="inlineStr">
        <is>
          <t>SKAAH Hospitality Website: Independent QA and Audit Execution Workbook</t>
        </is>
      </c>
    </row>
    <row r="2" ht="15" customHeight="1" s="23">
      <c r="A2" s="25" t="inlineStr">
        <is>
          <t>Baseline: SoW v1.3 s13 and spec docs 01-09. Fill only the shaded columns on each sheet (Result, Evidence link, Tester, Date, Notes). Result uses the dropdown. Evidence rule: no evidence, no pass; store proof under /QA-Evidence/&lt;sheet-id&gt;/.</t>
        </is>
      </c>
    </row>
    <row r="3" ht="15" customHeight="1" s="23"/>
    <row r="5" ht="15" customHeight="1" s="23">
      <c r="A5" s="26" t="inlineStr">
        <is>
          <t>Severity if fail: C = Critical (blocks launch), M = Major (blocks launch), Mn = Minor (may launch only when logged with owner and a 30 day fix date; CEO approval, CTO sign-off).</t>
        </is>
      </c>
    </row>
    <row r="6" ht="15" customHeight="1" s="23"/>
    <row r="8" ht="15" customHeight="1" s="23">
      <c r="A8" s="27" t="inlineStr">
        <is>
          <t>Example of a completed row (format to follow):</t>
        </is>
      </c>
    </row>
    <row r="9" ht="15" customHeight="1" s="23">
      <c r="A9" s="28" t="inlineStr">
        <is>
          <t>ID</t>
        </is>
      </c>
      <c r="B9" s="28" t="inlineStr">
        <is>
          <t>Test case</t>
        </is>
      </c>
      <c r="C9" s="28" t="inlineStr">
        <is>
          <t>Steps / method</t>
        </is>
      </c>
      <c r="D9" s="28" t="inlineStr">
        <is>
          <t>Expected result</t>
        </is>
      </c>
      <c r="E9" s="28" t="inlineStr">
        <is>
          <t>Ref</t>
        </is>
      </c>
      <c r="F9" s="28" t="inlineStr">
        <is>
          <t>Sev</t>
        </is>
      </c>
      <c r="G9" s="28" t="inlineStr">
        <is>
          <t>Result</t>
        </is>
      </c>
      <c r="H9" s="28" t="inlineStr">
        <is>
          <t>Evidence link</t>
        </is>
      </c>
      <c r="I9" s="28" t="inlineStr">
        <is>
          <t>Tester</t>
        </is>
      </c>
      <c r="J9" s="28" t="inlineStr">
        <is>
          <t>Date</t>
        </is>
      </c>
      <c r="K9" s="28" t="inlineStr">
        <is>
          <t>Notes</t>
        </is>
      </c>
    </row>
    <row r="10" ht="15" customHeight="1" s="23">
      <c r="A10" s="29" t="inlineStr">
        <is>
          <t>FE-09</t>
        </is>
      </c>
      <c r="B10" s="29" t="inlineStr">
        <is>
          <t>100 MB upload on 4G</t>
        </is>
      </c>
      <c r="C10" s="29" t="inlineStr">
        <is>
          <t>Uploaded 98 MB PDF, throttled 4G, Android</t>
        </is>
      </c>
      <c r="D10" s="29" t="inlineStr">
        <is>
          <t>Succeeded with progress; file in payload</t>
        </is>
      </c>
      <c r="E10" s="29" t="inlineStr">
        <is>
          <t>SoW 8.1</t>
        </is>
      </c>
      <c r="F10" s="29" t="inlineStr">
        <is>
          <t>C</t>
        </is>
      </c>
      <c r="G10" s="30" t="inlineStr">
        <is>
          <t>Pass</t>
        </is>
      </c>
      <c r="H10" s="30" t="inlineStr">
        <is>
          <t>/QA-Evidence/FE-09/</t>
        </is>
      </c>
      <c r="I10" s="30" t="inlineStr">
        <is>
          <t>R. Meegada</t>
        </is>
      </c>
      <c r="J10" s="30" t="inlineStr">
        <is>
          <t>2026-09-14</t>
        </is>
      </c>
      <c r="K10" s="30" t="inlineStr">
        <is>
          <t>Retested after fix 1x</t>
        </is>
      </c>
    </row>
    <row r="12" ht="15" customHeight="1" s="23">
      <c r="A12" s="27" t="inlineStr">
        <is>
          <t>Progress summary (live formulas)</t>
        </is>
      </c>
    </row>
    <row r="13" ht="15" customHeight="1" s="23">
      <c r="A13" s="31" t="inlineStr">
        <is>
          <t>Sheet</t>
        </is>
      </c>
      <c r="B13" s="31" t="inlineStr">
        <is>
          <t>Total</t>
        </is>
      </c>
      <c r="C13" s="31" t="inlineStr">
        <is>
          <t>Pass</t>
        </is>
      </c>
      <c r="D13" s="31" t="inlineStr">
        <is>
          <t>Fail</t>
        </is>
      </c>
      <c r="E13" s="31" t="inlineStr">
        <is>
          <t>Blocked</t>
        </is>
      </c>
      <c r="F13" s="31" t="inlineStr">
        <is>
          <t>N.A.</t>
        </is>
      </c>
      <c r="G13" s="31" t="inlineStr">
        <is>
          <t>Open</t>
        </is>
      </c>
      <c r="H13" s="31" t="inlineStr">
        <is>
          <t>Critical fails</t>
        </is>
      </c>
      <c r="I13" s="31" t="inlineStr">
        <is>
          <t>Major fails</t>
        </is>
      </c>
    </row>
    <row r="14" ht="15" customHeight="1" s="23">
      <c r="A14" s="32" t="inlineStr">
        <is>
          <t>1-Code-Audit</t>
        </is>
      </c>
      <c r="B14" s="32">
        <f>COUNTA('1-Code-Audit'!$A$2:$A$200)</f>
        <v/>
      </c>
      <c r="C14" s="32">
        <f>COUNTIF('1-Code-Audit'!$G$2:$G$200,"Pass")</f>
        <v/>
      </c>
      <c r="D14" s="32">
        <f>COUNTIF('1-Code-Audit'!$G$2:$G$200,"Fail")</f>
        <v/>
      </c>
      <c r="E14" s="32">
        <f>COUNTIF('1-Code-Audit'!$G$2:$G$200,"Blocked")</f>
        <v/>
      </c>
      <c r="F14" s="32">
        <f>COUNTIF('1-Code-Audit'!$G$2:$G$200,"N.A.")</f>
        <v/>
      </c>
      <c r="G14" s="32">
        <f>B14-C14-D14-E14-F14</f>
        <v/>
      </c>
      <c r="H14" s="32">
        <f>COUNTIFS('1-Code-Audit'!$F$2:$F$200,"C",'1-Code-Audit'!$G$2:$G$200,"Fail")</f>
        <v/>
      </c>
      <c r="I14" s="32">
        <f>COUNTIFS('1-Code-Audit'!$F$2:$F$200,"M",'1-Code-Audit'!$G$2:$G$200,"Fail")</f>
        <v/>
      </c>
    </row>
    <row r="15" ht="15" customHeight="1" s="23">
      <c r="A15" s="32" t="inlineStr">
        <is>
          <t>2-Content-Claims</t>
        </is>
      </c>
      <c r="B15" s="32">
        <f>COUNTA('2-Content-Claims'!$A$2:$A$200)</f>
        <v/>
      </c>
      <c r="C15" s="32">
        <f>COUNTIF('2-Content-Claims'!$G$2:$G$200,"Pass")</f>
        <v/>
      </c>
      <c r="D15" s="32">
        <f>COUNTIF('2-Content-Claims'!$G$2:$G$200,"Fail")</f>
        <v/>
      </c>
      <c r="E15" s="32">
        <f>COUNTIF('2-Content-Claims'!$G$2:$G$200,"Blocked")</f>
        <v/>
      </c>
      <c r="F15" s="32">
        <f>COUNTIF('2-Content-Claims'!$G$2:$G$200,"N.A.")</f>
        <v/>
      </c>
      <c r="G15" s="32">
        <f>B15-C15-D15-E15-F15</f>
        <v/>
      </c>
      <c r="H15" s="32">
        <f>COUNTIFS('2-Content-Claims'!$F$2:$F$200,"C",'2-Content-Claims'!$G$2:$G$200,"Fail")</f>
        <v/>
      </c>
      <c r="I15" s="32">
        <f>COUNTIFS('2-Content-Claims'!$F$2:$F$200,"M",'2-Content-Claims'!$G$2:$G$200,"Fail")</f>
        <v/>
      </c>
    </row>
    <row r="16" ht="15" customHeight="1" s="23">
      <c r="A16" s="32" t="inlineStr">
        <is>
          <t>3-Functional-Enquiry</t>
        </is>
      </c>
      <c r="B16" s="32">
        <f>COUNTA('3-Functional-Enquiry'!$A$2:$A$200)</f>
        <v/>
      </c>
      <c r="C16" s="32">
        <f>COUNTIF('3-Functional-Enquiry'!$G$2:$G$200,"Pass")</f>
        <v/>
      </c>
      <c r="D16" s="32">
        <f>COUNTIF('3-Functional-Enquiry'!$G$2:$G$200,"Fail")</f>
        <v/>
      </c>
      <c r="E16" s="32">
        <f>COUNTIF('3-Functional-Enquiry'!$G$2:$G$200,"Blocked")</f>
        <v/>
      </c>
      <c r="F16" s="32">
        <f>COUNTIF('3-Functional-Enquiry'!$G$2:$G$200,"N.A.")</f>
        <v/>
      </c>
      <c r="G16" s="32">
        <f>B16-C16-D16-E16-F16</f>
        <v/>
      </c>
      <c r="H16" s="32">
        <f>COUNTIFS('3-Functional-Enquiry'!$F$2:$F$200,"C",'3-Functional-Enquiry'!$G$2:$G$200,"Fail")</f>
        <v/>
      </c>
      <c r="I16" s="32">
        <f>COUNTIFS('3-Functional-Enquiry'!$F$2:$F$200,"M",'3-Functional-Enquiry'!$G$2:$G$200,"Fail")</f>
        <v/>
      </c>
    </row>
    <row r="17" ht="15" customHeight="1" s="23">
      <c r="A17" s="32" t="inlineStr">
        <is>
          <t>4-SEO-Schema</t>
        </is>
      </c>
      <c r="B17" s="32">
        <f>COUNTA('4-SEO-Schema'!$A$2:$A$200)</f>
        <v/>
      </c>
      <c r="C17" s="32">
        <f>COUNTIF('4-SEO-Schema'!$G$2:$G$200,"Pass")</f>
        <v/>
      </c>
      <c r="D17" s="32">
        <f>COUNTIF('4-SEO-Schema'!$G$2:$G$200,"Fail")</f>
        <v/>
      </c>
      <c r="E17" s="32">
        <f>COUNTIF('4-SEO-Schema'!$G$2:$G$200,"Blocked")</f>
        <v/>
      </c>
      <c r="F17" s="32">
        <f>COUNTIF('4-SEO-Schema'!$G$2:$G$200,"N.A.")</f>
        <v/>
      </c>
      <c r="G17" s="32">
        <f>B17-C17-D17-E17-F17</f>
        <v/>
      </c>
      <c r="H17" s="32">
        <f>COUNTIFS('4-SEO-Schema'!$F$2:$F$200,"C",'4-SEO-Schema'!$G$2:$G$200,"Fail")</f>
        <v/>
      </c>
      <c r="I17" s="32">
        <f>COUNTIFS('4-SEO-Schema'!$F$2:$F$200,"M",'4-SEO-Schema'!$G$2:$G$200,"Fail")</f>
        <v/>
      </c>
    </row>
    <row r="18" ht="15" customHeight="1" s="23">
      <c r="A18" s="32" t="inlineStr">
        <is>
          <t>5-Performance</t>
        </is>
      </c>
      <c r="B18" s="32">
        <f>COUNTA('5-Performance'!$A$2:$A$200)</f>
        <v/>
      </c>
      <c r="C18" s="32">
        <f>COUNTIF('5-Performance'!$G$2:$G$200,"Pass")</f>
        <v/>
      </c>
      <c r="D18" s="32">
        <f>COUNTIF('5-Performance'!$G$2:$G$200,"Fail")</f>
        <v/>
      </c>
      <c r="E18" s="32">
        <f>COUNTIF('5-Performance'!$G$2:$G$200,"Blocked")</f>
        <v/>
      </c>
      <c r="F18" s="32">
        <f>COUNTIF('5-Performance'!$G$2:$G$200,"N.A.")</f>
        <v/>
      </c>
      <c r="G18" s="32">
        <f>B18-C18-D18-E18-F18</f>
        <v/>
      </c>
      <c r="H18" s="32">
        <f>COUNTIFS('5-Performance'!$F$2:$F$200,"C",'5-Performance'!$G$2:$G$200,"Fail")</f>
        <v/>
      </c>
      <c r="I18" s="32">
        <f>COUNTIFS('5-Performance'!$F$2:$F$200,"M",'5-Performance'!$G$2:$G$200,"Fail")</f>
        <v/>
      </c>
    </row>
    <row r="19" ht="15" customHeight="1" s="23">
      <c r="A19" s="32" t="inlineStr">
        <is>
          <t>6-Accessibility</t>
        </is>
      </c>
      <c r="B19" s="32">
        <f>COUNTA('6-Accessibility'!$A$2:$A$200)</f>
        <v/>
      </c>
      <c r="C19" s="32">
        <f>COUNTIF('6-Accessibility'!$G$2:$G$200,"Pass")</f>
        <v/>
      </c>
      <c r="D19" s="32">
        <f>COUNTIF('6-Accessibility'!$G$2:$G$200,"Fail")</f>
        <v/>
      </c>
      <c r="E19" s="32">
        <f>COUNTIF('6-Accessibility'!$G$2:$G$200,"Blocked")</f>
        <v/>
      </c>
      <c r="F19" s="32">
        <f>COUNTIF('6-Accessibility'!$G$2:$G$200,"N.A.")</f>
        <v/>
      </c>
      <c r="G19" s="32">
        <f>B19-C19-D19-E19-F19</f>
        <v/>
      </c>
      <c r="H19" s="32">
        <f>COUNTIFS('6-Accessibility'!$F$2:$F$200,"C",'6-Accessibility'!$G$2:$G$200,"Fail")</f>
        <v/>
      </c>
      <c r="I19" s="32">
        <f>COUNTIFS('6-Accessibility'!$F$2:$F$200,"M",'6-Accessibility'!$G$2:$G$200,"Fail")</f>
        <v/>
      </c>
    </row>
    <row r="20" ht="15" customHeight="1" s="23">
      <c r="A20" s="32" t="inlineStr">
        <is>
          <t>7-Security-Residency</t>
        </is>
      </c>
      <c r="B20" s="32">
        <f>COUNTA('7-Security-Residency'!$A$2:$A$200)</f>
        <v/>
      </c>
      <c r="C20" s="32">
        <f>COUNTIF('7-Security-Residency'!$G$2:$G$200,"Pass")</f>
        <v/>
      </c>
      <c r="D20" s="32">
        <f>COUNTIF('7-Security-Residency'!$G$2:$G$200,"Fail")</f>
        <v/>
      </c>
      <c r="E20" s="32">
        <f>COUNTIF('7-Security-Residency'!$G$2:$G$200,"Blocked")</f>
        <v/>
      </c>
      <c r="F20" s="32">
        <f>COUNTIF('7-Security-Residency'!$G$2:$G$200,"N.A.")</f>
        <v/>
      </c>
      <c r="G20" s="32">
        <f>B20-C20-D20-E20-F20</f>
        <v/>
      </c>
      <c r="H20" s="32">
        <f>COUNTIFS('7-Security-Residency'!$F$2:$F$200,"C",'7-Security-Residency'!$G$2:$G$200,"Fail")</f>
        <v/>
      </c>
      <c r="I20" s="32">
        <f>COUNTIFS('7-Security-Residency'!$F$2:$F$200,"M",'7-Security-Residency'!$G$2:$G$200,"Fail")</f>
        <v/>
      </c>
    </row>
    <row r="21" ht="15" customHeight="1" s="23">
      <c r="A21" s="32" t="inlineStr">
        <is>
          <t>8-Compat-Matrix</t>
        </is>
      </c>
      <c r="B21" s="32">
        <f>COUNTA('8-Compat-Matrix'!$A$2:$A$200)</f>
        <v/>
      </c>
      <c r="C21" s="32">
        <f>COUNTIF('8-Compat-Matrix'!$G$2:$G$200,"Pass")</f>
        <v/>
      </c>
      <c r="D21" s="32">
        <f>COUNTIF('8-Compat-Matrix'!$G$2:$G$200,"Fail")</f>
        <v/>
      </c>
      <c r="E21" s="32">
        <f>COUNTIF('8-Compat-Matrix'!$G$2:$G$200,"Blocked")</f>
        <v/>
      </c>
      <c r="F21" s="32">
        <f>COUNTIF('8-Compat-Matrix'!$G$2:$G$200,"N.A.")</f>
        <v/>
      </c>
      <c r="G21" s="32">
        <f>B21-C21-D21-E21-F21</f>
        <v/>
      </c>
      <c r="H21" s="32">
        <f>COUNTIFS('8-Compat-Matrix'!$F$2:$F$200,"C",'8-Compat-Matrix'!$G$2:$G$200,"Fail")</f>
        <v/>
      </c>
      <c r="I21" s="32">
        <f>COUNTIFS('8-Compat-Matrix'!$F$2:$F$200,"M",'8-Compat-Matrix'!$G$2:$G$200,"Fail")</f>
        <v/>
      </c>
    </row>
    <row r="22" ht="15" customHeight="1" s="23">
      <c r="A22" s="32" t="inlineStr">
        <is>
          <t>9-CMS-Editorial</t>
        </is>
      </c>
      <c r="B22" s="32">
        <f>COUNTA('9-CMS-Editorial'!$A$2:$A$200)</f>
        <v/>
      </c>
      <c r="C22" s="32">
        <f>COUNTIF('9-CMS-Editorial'!$G$2:$G$200,"Pass")</f>
        <v/>
      </c>
      <c r="D22" s="32">
        <f>COUNTIF('9-CMS-Editorial'!$G$2:$G$200,"Fail")</f>
        <v/>
      </c>
      <c r="E22" s="32">
        <f>COUNTIF('9-CMS-Editorial'!$G$2:$G$200,"Blocked")</f>
        <v/>
      </c>
      <c r="F22" s="32">
        <f>COUNTIF('9-CMS-Editorial'!$G$2:$G$200,"N.A.")</f>
        <v/>
      </c>
      <c r="G22" s="32">
        <f>B22-C22-D22-E22-F22</f>
        <v/>
      </c>
      <c r="H22" s="32">
        <f>COUNTIFS('9-CMS-Editorial'!$F$2:$F$200,"C",'9-CMS-Editorial'!$G$2:$G$200,"Fail")</f>
        <v/>
      </c>
      <c r="I22" s="32">
        <f>COUNTIFS('9-CMS-Editorial'!$F$2:$F$200,"M",'9-CMS-Editorial'!$G$2:$G$200,"Fail")</f>
        <v/>
      </c>
    </row>
    <row r="23" ht="15" customHeight="1" s="23">
      <c r="A23" s="32" t="inlineStr">
        <is>
          <t>10-Deploy-Ops</t>
        </is>
      </c>
      <c r="B23" s="32">
        <f>COUNTA('10-Deploy-Ops'!$A$2:$A$200)</f>
        <v/>
      </c>
      <c r="C23" s="32">
        <f>COUNTIF('10-Deploy-Ops'!$G$2:$G$200,"Pass")</f>
        <v/>
      </c>
      <c r="D23" s="32">
        <f>COUNTIF('10-Deploy-Ops'!$G$2:$G$200,"Fail")</f>
        <v/>
      </c>
      <c r="E23" s="32">
        <f>COUNTIF('10-Deploy-Ops'!$G$2:$G$200,"Blocked")</f>
        <v/>
      </c>
      <c r="F23" s="32">
        <f>COUNTIF('10-Deploy-Ops'!$G$2:$G$200,"N.A.")</f>
        <v/>
      </c>
      <c r="G23" s="32">
        <f>B23-C23-D23-E23-F23</f>
        <v/>
      </c>
      <c r="H23" s="32">
        <f>COUNTIFS('10-Deploy-Ops'!$F$2:$F$200,"C",'10-Deploy-Ops'!$G$2:$G$200,"Fail")</f>
        <v/>
      </c>
      <c r="I23" s="32">
        <f>COUNTIFS('10-Deploy-Ops'!$F$2:$F$200,"M",'10-Deploy-Ops'!$G$2:$G$200,"Fail")</f>
        <v/>
      </c>
    </row>
    <row r="24" ht="15" customHeight="1" s="23">
      <c r="A24" s="33" t="inlineStr">
        <is>
          <t>TOTAL</t>
        </is>
      </c>
      <c r="B24" s="33">
        <f>SUM(B14:B23)</f>
        <v/>
      </c>
      <c r="C24" s="33">
        <f>SUM(C14:C23)</f>
        <v/>
      </c>
      <c r="D24" s="33">
        <f>SUM(D14:D23)</f>
        <v/>
      </c>
      <c r="E24" s="33">
        <f>SUM(E14:E23)</f>
        <v/>
      </c>
      <c r="F24" s="33">
        <f>SUM(F14:F23)</f>
        <v/>
      </c>
      <c r="G24" s="33">
        <f>SUM(G14:G23)</f>
        <v/>
      </c>
      <c r="H24" s="33">
        <f>SUM(H14:H23)</f>
        <v/>
      </c>
      <c r="I24" s="33">
        <f>SUM(I14:I23)</f>
        <v/>
      </c>
    </row>
    <row r="26" ht="15" customHeight="1" s="23">
      <c r="A26" s="27" t="inlineStr">
        <is>
          <t>Launch readiness</t>
        </is>
      </c>
      <c r="B26" s="34">
        <f>IF(H24+I24&gt;0,"NOT READY: critical or major fails open",IF(G24&gt;0,"IN PROGRESS: open tests remain","READY, subject to minors logged per SoW s13"))</f>
        <v/>
      </c>
    </row>
  </sheetData>
  <mergeCells count="4">
    <mergeCell ref="A2:I3"/>
    <mergeCell ref="A5:I6"/>
    <mergeCell ref="A12:I12"/>
    <mergeCell ref="B26:G2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K17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9" customWidth="1" style="22" min="1" max="1"/>
    <col width="30" customWidth="1" style="22" min="2" max="2"/>
    <col width="44" customWidth="1" style="22" min="3" max="3"/>
    <col width="38" customWidth="1" style="22" min="4" max="4"/>
    <col width="15" customWidth="1" style="22" min="5" max="5"/>
    <col width="6" customWidth="1" style="22" min="6" max="6"/>
    <col width="10" customWidth="1" style="22" min="7" max="7"/>
    <col width="22" customWidth="1" style="22" min="8" max="8"/>
    <col width="12" customWidth="1" style="22" min="9" max="9"/>
    <col width="11" customWidth="1" style="22" min="10" max="10"/>
    <col width="22" customWidth="1" style="22" min="11" max="11"/>
  </cols>
  <sheetData>
    <row r="1" ht="15" customHeight="1" s="23">
      <c r="A1" s="35" t="inlineStr">
        <is>
          <t>ID</t>
        </is>
      </c>
      <c r="B1" s="35" t="inlineStr">
        <is>
          <t>Test case</t>
        </is>
      </c>
      <c r="C1" s="35" t="inlineStr">
        <is>
          <t>Steps / method</t>
        </is>
      </c>
      <c r="D1" s="35" t="inlineStr">
        <is>
          <t>Expected result</t>
        </is>
      </c>
      <c r="E1" s="35" t="inlineStr">
        <is>
          <t>Ref</t>
        </is>
      </c>
      <c r="F1" s="35" t="inlineStr">
        <is>
          <t>Sev</t>
        </is>
      </c>
      <c r="G1" s="35" t="inlineStr">
        <is>
          <t>Result</t>
        </is>
      </c>
      <c r="H1" s="35" t="inlineStr">
        <is>
          <t>Evidence link</t>
        </is>
      </c>
      <c r="I1" s="35" t="inlineStr">
        <is>
          <t>Tester</t>
        </is>
      </c>
      <c r="J1" s="35" t="inlineStr">
        <is>
          <t>Date</t>
        </is>
      </c>
      <c r="K1" s="35" t="inlineStr">
        <is>
          <t>Notes</t>
        </is>
      </c>
    </row>
    <row r="2" ht="23.85" customHeight="1" s="23">
      <c r="A2" s="36" t="inlineStr">
        <is>
          <t>CA-01</t>
        </is>
      </c>
      <c r="B2" s="37" t="inlineStr">
        <is>
          <t>Repo structure matches spec</t>
        </is>
      </c>
      <c r="C2" s="37" t="inlineStr">
        <is>
          <t>Fresh clone; compare folders and routes to docs/04 s6 and docs/01 s3</t>
        </is>
      </c>
      <c r="D2" s="37" t="inlineStr">
        <is>
          <t>Structure matches; any deviation has a DECISION comment</t>
        </is>
      </c>
      <c r="E2" s="36" t="inlineStr">
        <is>
          <t>04 s6</t>
        </is>
      </c>
      <c r="F2" s="36" t="inlineStr">
        <is>
          <t>M</t>
        </is>
      </c>
      <c r="G2" s="38" t="inlineStr">
        <is>
          <t>Pass</t>
        </is>
      </c>
      <c r="H2" s="39" t="inlineStr">
        <is>
          <t>QA-Evidence/CA-01/</t>
        </is>
      </c>
      <c r="I2" s="39" t="inlineStr">
        <is>
          <t>Claude Code (automated pre-audit)</t>
        </is>
      </c>
      <c r="J2" s="38" t="inlineStr">
        <is>
          <t>2026-08-21</t>
        </is>
      </c>
      <c r="K2" s="39" t="inlineStr">
        <is>
          <t>Round 2 retest after fix: e2e/ scaffold added (playwright.config.ts, e2e/smoke.spec.ts, pnpm test:e2e per CLAUDE.md E0); suite runs green (4 passed) against the production build. All other structural deviations were already documented. Original finding stands as fixed.</t>
        </is>
      </c>
    </row>
    <row r="3" ht="15" customHeight="1" s="23">
      <c r="A3" s="36" t="inlineStr">
        <is>
          <t>CA-02</t>
        </is>
      </c>
      <c r="B3" s="37" t="inlineStr">
        <is>
          <t>TypeScript strict, clean typecheck</t>
        </is>
      </c>
      <c r="C3" s="37" t="inlineStr">
        <is>
          <t>Inspect tsconfig; run pnpm typecheck</t>
        </is>
      </c>
      <c r="D3" s="37" t="inlineStr">
        <is>
          <t>strict true; zero errors</t>
        </is>
      </c>
      <c r="E3" s="36" t="inlineStr">
        <is>
          <t>04 s6</t>
        </is>
      </c>
      <c r="F3" s="36" t="inlineStr">
        <is>
          <t>M</t>
        </is>
      </c>
      <c r="G3" s="38" t="inlineStr">
        <is>
          <t>Pass</t>
        </is>
      </c>
      <c r="H3" s="39" t="inlineStr">
        <is>
          <t>QA-Evidence/CA-02/</t>
        </is>
      </c>
      <c r="I3" s="39" t="inlineStr">
        <is>
          <t>Claude Code (automated pre-audit)</t>
        </is>
      </c>
      <c r="J3" s="38" t="inlineStr">
        <is>
          <t>2026-08-21</t>
        </is>
      </c>
      <c r="K3" s="39" t="inlineStr">
        <is>
          <t>tsconfig has strict:true plus noUncheckedIndexedAccess; npx tsc --noEmit (TS 5.9.3) exits 0 with zero errors. Note: tsconfig excludes scripts/ from the typecheck scope.</t>
        </is>
      </c>
    </row>
    <row r="4" ht="23.85" customHeight="1" s="23">
      <c r="A4" s="36" t="inlineStr">
        <is>
          <t>CA-03</t>
        </is>
      </c>
      <c r="B4" s="37" t="inlineStr">
        <is>
          <t>Design tokens exact</t>
        </is>
      </c>
      <c r="C4" s="37" t="inlineStr">
        <is>
          <t>Diff Tailwind theme values against docs/04 s1</t>
        </is>
      </c>
      <c r="D4" s="37" t="inlineStr">
        <is>
          <t>All values exact incl. 164069 blue, greens, golds</t>
        </is>
      </c>
      <c r="E4" s="36" t="inlineStr">
        <is>
          <t>04 s1</t>
        </is>
      </c>
      <c r="F4" s="36" t="inlineStr">
        <is>
          <t>M</t>
        </is>
      </c>
      <c r="G4" s="38" t="inlineStr">
        <is>
          <t>Pass</t>
        </is>
      </c>
      <c r="H4" s="39" t="inlineStr">
        <is>
          <t>QA-Evidence/CA-03/</t>
        </is>
      </c>
      <c r="I4" s="39" t="inlineStr">
        <is>
          <t>Claude Code (automated pre-audit)</t>
        </is>
      </c>
      <c r="J4" s="38" t="inlineStr">
        <is>
          <t>2026-08-21</t>
        </is>
      </c>
      <c r="K4" s="39" t="inlineStr">
        <is>
          <t>Programmatic diff of app/globals.css @theme vs docs/04 s1: all 17 colours (incl. #164069 navy-900, greens #175A43/#1E6E52, golds #BFA05A/#9A7B2D), radii, container widths, gutter and shadow-card exact (hex case differs only). Font tokens reference var(--font-cormorant)/var(--font-inter) from self-hosted next/font/local instead of literal family names: functional equivalent that satisfies the self-hosted font requirement.</t>
        </is>
      </c>
    </row>
    <row r="5" ht="15" customHeight="1" s="23">
      <c r="A5" s="36" t="inlineStr">
        <is>
          <t>CA-04</t>
        </is>
      </c>
      <c r="B5" s="37" t="inlineStr">
        <is>
          <t>No hardcoded colours</t>
        </is>
      </c>
      <c r="C5" s="37" t="inlineStr">
        <is>
          <t>Search hex values outside token definitions</t>
        </is>
      </c>
      <c r="D5" s="37" t="inlineStr">
        <is>
          <t>None, or documented exceptions only</t>
        </is>
      </c>
      <c r="E5" s="36" t="inlineStr">
        <is>
          <t>04 s6</t>
        </is>
      </c>
      <c r="F5" s="36" t="inlineStr">
        <is>
          <t>Mn</t>
        </is>
      </c>
      <c r="G5" s="38" t="inlineStr">
        <is>
          <t>Pass</t>
        </is>
      </c>
      <c r="H5" s="39" t="inlineStr">
        <is>
          <t>QA-Evidence/CA-04/</t>
        </is>
      </c>
      <c r="I5" s="39" t="inlineStr">
        <is>
          <t>Claude Code (automated pre-audit)</t>
        </is>
      </c>
      <c r="J5" s="38" t="inlineStr">
        <is>
          <t>2026-08-21</t>
        </is>
      </c>
      <c r="K5" s="39" t="inlineStr">
        <is>
          <t>Round 2 retest: HeroFilm literal replaced with color-mix(in srgb, var(--color-gold-500) 14%, transparent); zero undocumented colour literals remain (the staging-only amber badge in Copy.tsx stays documented in code).</t>
        </is>
      </c>
    </row>
    <row r="6" ht="23.85" customHeight="1" s="23">
      <c r="A6" s="36" t="inlineStr">
        <is>
          <t>CA-05</t>
        </is>
      </c>
      <c r="B6" s="37" t="inlineStr">
        <is>
          <t>Component inventory C01-C29 present</t>
        </is>
      </c>
      <c r="C6" s="37" t="inlineStr">
        <is>
          <t>List components dir; map to inventory</t>
        </is>
      </c>
      <c r="D6" s="37" t="inlineStr">
        <is>
          <t>All 29 exist with specified names</t>
        </is>
      </c>
      <c r="E6" s="36" t="inlineStr">
        <is>
          <t>04 s3</t>
        </is>
      </c>
      <c r="F6" s="36" t="inlineStr">
        <is>
          <t>M</t>
        </is>
      </c>
      <c r="G6" s="38" t="inlineStr">
        <is>
          <t>Pass</t>
        </is>
      </c>
      <c r="H6" s="39" t="inlineStr">
        <is>
          <t>QA-Evidence/CA-05/</t>
        </is>
      </c>
      <c r="I6" s="39" t="inlineStr">
        <is>
          <t>Claude Code (automated pre-audit)</t>
        </is>
      </c>
      <c r="J6" s="38" t="inlineStr">
        <is>
          <t>2026-08-21</t>
        </is>
      </c>
      <c r="K6" s="39" t="inlineStr">
        <is>
          <t>Round 2 retest: C23 FilmBlock built (click-to-play, poster-first, provider-pending DECISION), C26 LangSwitcher built and mounted (renders only when routing.locales exceeds 1, per spec built-but-hidden), C29 NoticeBar built (global-toggled, disabled by default). Full C01-C29 inventory now present with accepted equivalents.</t>
        </is>
      </c>
    </row>
    <row r="7" ht="23.85" customHeight="1" s="23">
      <c r="A7" s="36" t="inlineStr">
        <is>
          <t>CA-06</t>
        </is>
      </c>
      <c r="B7" s="37" t="inlineStr">
        <is>
          <t>Server components by default</t>
        </is>
      </c>
      <c r="C7" s="37" t="inlineStr">
        <is>
          <t>Audit use client directives</t>
        </is>
      </c>
      <c r="D7" s="37" t="inlineStr">
        <is>
          <t>Only the listed interactive components are client</t>
        </is>
      </c>
      <c r="E7" s="36" t="inlineStr">
        <is>
          <t>04 s6</t>
        </is>
      </c>
      <c r="F7" s="36" t="inlineStr">
        <is>
          <t>Mn</t>
        </is>
      </c>
      <c r="G7" s="38" t="inlineStr">
        <is>
          <t>Pass</t>
        </is>
      </c>
      <c r="H7" s="39" t="inlineStr">
        <is>
          <t>QA-Evidence/CA-06/</t>
        </is>
      </c>
      <c r="I7" s="39" t="inlineStr">
        <is>
          <t>Claude Code (automated pre-audit)</t>
        </is>
      </c>
      <c r="J7" s="38" t="inlineStr">
        <is>
          <t>2026-08-21</t>
        </is>
      </c>
      <c r="K7" s="39" t="inlineStr">
        <is>
          <t>16 use-client files. 6 are on the docs/04 s6 list (C15, C17 x2, C18, C24, header menus). 10 extras all justified: error.tsx (Next.js framework requirement), CookiePreferences (C24 consent surface), HubNav/WorkFilters (interactivity the docs/04 s4 templates require; grid stays server-rendered), and 5 analytics wrappers (BudgetBandTable, HubTimeline, CaseStudyMetaRow with DECISION comment, PartnerCta, WhatsAppLink) forced by docs/06 s7 event wiring, plus lib/analytics.ts. No static content component is client; C03 HeroFilm and C22 GalleryScroller are stricter (server) than the spec allows. Judged Pass: docs/04 list predates event wiring; every extra carries an in-code rationale.</t>
        </is>
      </c>
    </row>
    <row r="8" ht="15" customHeight="1" s="23">
      <c r="A8" s="36" t="inlineStr">
        <is>
          <t>CA-07</t>
        </is>
      </c>
      <c r="B8" s="37" t="inlineStr">
        <is>
          <t>Secrets scan clean</t>
        </is>
      </c>
      <c r="C8" s="37" t="inlineStr">
        <is>
          <t>Run gitleaks over full git history</t>
        </is>
      </c>
      <c r="D8" s="37" t="inlineStr">
        <is>
          <t>Zero findings</t>
        </is>
      </c>
      <c r="E8" s="36" t="inlineStr">
        <is>
          <t>05 s6</t>
        </is>
      </c>
      <c r="F8" s="36" t="inlineStr">
        <is>
          <t>C</t>
        </is>
      </c>
      <c r="G8" s="38" t="inlineStr">
        <is>
          <t>Pass</t>
        </is>
      </c>
      <c r="H8" s="39" t="inlineStr">
        <is>
          <t>QA-Evidence/CA-07/</t>
        </is>
      </c>
      <c r="I8" s="39" t="inlineStr">
        <is>
          <t>Claude Code (automated pre-audit)</t>
        </is>
      </c>
      <c r="J8" s="38" t="inlineStr">
        <is>
          <t>2026-08-21</t>
        </is>
      </c>
      <c r="K8" s="39" t="inlineStr">
        <is>
          <t>gitleaks detect over full history (7 commits, ~783 KB scanned): no leaks found, exit 0, empty findings report archived.</t>
        </is>
      </c>
    </row>
    <row r="9" ht="15" customHeight="1" s="23">
      <c r="A9" s="36" t="inlineStr">
        <is>
          <t>CA-08</t>
        </is>
      </c>
      <c r="B9" s="37" t="inlineStr">
        <is>
          <t>Dependency vulnerabilities</t>
        </is>
      </c>
      <c r="C9" s="37" t="inlineStr">
        <is>
          <t>Run pnpm audit for production deps</t>
        </is>
      </c>
      <c r="D9" s="37" t="inlineStr">
        <is>
          <t>No critical or high advisories open</t>
        </is>
      </c>
      <c r="E9" s="36" t="inlineStr">
        <is>
          <t>05 s6</t>
        </is>
      </c>
      <c r="F9" s="36" t="inlineStr">
        <is>
          <t>M</t>
        </is>
      </c>
      <c r="G9" s="38" t="inlineStr">
        <is>
          <t>Pass</t>
        </is>
      </c>
      <c r="H9" s="39" t="inlineStr">
        <is>
          <t>QA-Evidence/CA-08/</t>
        </is>
      </c>
      <c r="I9" s="39" t="inlineStr">
        <is>
          <t>Claude Code (automated pre-audit)</t>
        </is>
      </c>
      <c r="J9" s="38" t="inlineStr">
        <is>
          <t>2026-08-21</t>
        </is>
      </c>
      <c r="K9" s="39" t="inlineStr">
        <is>
          <t>Round 2 retest: pnpm overrides pin postcss ^8.5.6 and sharp ^0.35.3 over next 15.5.23 transitive pins (Next kept at 15 per docs/05). pnpm audit --prod: No known vulnerabilities found. Build, tests and e2e green.</t>
        </is>
      </c>
    </row>
    <row r="10" ht="15" customHeight="1" s="23">
      <c r="A10" s="36" t="inlineStr">
        <is>
          <t>CA-09</t>
        </is>
      </c>
      <c r="B10" s="37" t="inlineStr">
        <is>
          <t>Licence compliance</t>
        </is>
      </c>
      <c r="C10" s="37" t="inlineStr">
        <is>
          <t>Generate dependency licence report</t>
        </is>
      </c>
      <c r="D10" s="37" t="inlineStr">
        <is>
          <t>No conflicting copyleft; report archived</t>
        </is>
      </c>
      <c r="E10" s="36" t="inlineStr">
        <is>
          <t>SoW 9.2</t>
        </is>
      </c>
      <c r="F10" s="36" t="inlineStr">
        <is>
          <t>Mn</t>
        </is>
      </c>
      <c r="G10" s="38" t="inlineStr">
        <is>
          <t>Pass</t>
        </is>
      </c>
      <c r="H10" s="39" t="inlineStr">
        <is>
          <t>QA-Evidence/CA-09/</t>
        </is>
      </c>
      <c r="I10" s="39" t="inlineStr">
        <is>
          <t>Claude Code (automated pre-audit)</t>
        </is>
      </c>
      <c r="J10" s="38" t="inlineStr">
        <is>
          <t>2026-08-21</t>
        </is>
      </c>
      <c r="K10" s="39" t="inlineStr">
        <is>
          <t>pnpm licenses list --prod archived (JSON + summary). Mix is MIT/Apache-2.0/ISC/BSD/0BSD/MIT-0/CC-BY-4.0 plus one LGPL-3.0-or-later: @img/sharp-libvips-linux-x64 (standard dynamically linked libvips prebuild, server-side only, not distributed to clients). Weak copyleft, no GPL/AGPL: no conflicting copyleft for this use.</t>
        </is>
      </c>
    </row>
    <row r="11" ht="35.05" customHeight="1" s="23">
      <c r="A11" s="36" t="inlineStr">
        <is>
          <t>CA-10</t>
        </is>
      </c>
      <c r="B11" s="37" t="inlineStr">
        <is>
          <t>Claims gate passes and actually bites</t>
        </is>
      </c>
      <c r="C11" s="37" t="inlineStr">
        <is>
          <t>Run pnpm check:claims on prod build; then seed a long dash and a forbidden phrase in a branch and run again</t>
        </is>
      </c>
      <c r="D11" s="37" t="inlineStr">
        <is>
          <t>Clean build passes; seeded branch fails the gate</t>
        </is>
      </c>
      <c r="E11" s="36" t="inlineStr">
        <is>
          <t>CLAUDE.md</t>
        </is>
      </c>
      <c r="F11" s="36" t="inlineStr">
        <is>
          <t>C</t>
        </is>
      </c>
      <c r="G11" s="38" t="inlineStr">
        <is>
          <t>Pass</t>
        </is>
      </c>
      <c r="H11" s="39" t="inlineStr">
        <is>
          <t>QA-Evidence/CA-10/</t>
        </is>
      </c>
      <c r="I11" s="39" t="inlineStr">
        <is>
          <t>Claude Code (automated pre-audit)</t>
        </is>
      </c>
      <c r="J11" s="38" t="inlineStr">
        <is>
          <t>2026-08-21</t>
        </is>
      </c>
      <c r="K11" s="39" t="inlineStr">
        <is>
          <t>Clean run exits 0. On temp branch qa/ca10-seed, one line seeded into content/home.ts with an em dash + 'international organisations' + 'WEF Davos': gate exits 1 with exactly 3 findings, one per class, incl. the restricted-WEF-wording rule from the approved amendment (content/disclaimer.ts sole allowed location). Checkout restored to clean 8b6e82d. Deviation noted: script scans source trees, not 'build output' as docs/07 T0.4 words it (equivalent coverage for the current typed content layer).</t>
        </is>
      </c>
    </row>
    <row r="12" ht="15" customHeight="1" s="23">
      <c r="A12" s="36" t="inlineStr">
        <is>
          <t>CA-11</t>
        </is>
      </c>
      <c r="B12" s="37" t="inlineStr">
        <is>
          <t>Zero TO CONFIRM in build output</t>
        </is>
      </c>
      <c r="C12" s="37" t="inlineStr">
        <is>
          <t>Run claims gate; grep build output</t>
        </is>
      </c>
      <c r="D12" s="37" t="inlineStr">
        <is>
          <t>None present</t>
        </is>
      </c>
      <c r="E12" s="36" t="inlineStr">
        <is>
          <t>01 s6</t>
        </is>
      </c>
      <c r="F12" s="36" t="inlineStr">
        <is>
          <t>C</t>
        </is>
      </c>
      <c r="G12" s="38" t="inlineStr">
        <is>
          <t>Fail</t>
        </is>
      </c>
      <c r="H12" s="39" t="inlineStr">
        <is>
          <t>QA-Evidence/CA-11/</t>
        </is>
      </c>
      <c r="I12" s="39" t="inlineStr">
        <is>
          <t>Claude Code (automated pre-audit)</t>
        </is>
      </c>
      <c r="J12" s="38" t="inlineStr">
        <is>
          <t>2026-08-21</t>
        </is>
      </c>
      <c r="K12" s="39" t="inlineStr">
        <is>
          <t>node scripts/check-claims.mjs --production: exits 1 with 78 unresolved [TO CONFIRM markers across content/, messages and lib/site.ts; production builds are correctly blocked (build:production runs this gate first). Fail records the designed pre-launch state per workbook instruction: markers await client facts (mailboxes, WhatsApp/phone, LinkedIn, venue lists, approved disclaimer wording); the gate itself works as specified. Round 2: count reduced to the facts genuinely awaiting the client (metadata trims resolved none of these by design).</t>
        </is>
      </c>
    </row>
    <row r="13" ht="23.85" customHeight="1" s="23">
      <c r="A13" s="36" t="inlineStr">
        <is>
          <t>CA-12</t>
        </is>
      </c>
      <c r="B13" s="37" t="inlineStr">
        <is>
          <t>export:content proven</t>
        </is>
      </c>
      <c r="C13" s="37" t="inlineStr">
        <is>
          <t>Run pnpm export:content; open archive</t>
        </is>
      </c>
      <c r="D13" s="37" t="inlineStr">
        <is>
          <t>Complete JSON plus media; procedure documented</t>
        </is>
      </c>
      <c r="E13" s="36" t="inlineStr">
        <is>
          <t>SoW 9.2</t>
        </is>
      </c>
      <c r="F13" s="36" t="inlineStr">
        <is>
          <t>C</t>
        </is>
      </c>
      <c r="G13" s="38" t="inlineStr">
        <is>
          <t>Pass</t>
        </is>
      </c>
      <c r="H13" s="39" t="inlineStr">
        <is>
          <t>QA-Evidence/CA-12/</t>
        </is>
      </c>
      <c r="I13" s="39" t="inlineStr">
        <is>
          <t>Claude Code (automated pre-audit)</t>
        </is>
      </c>
      <c r="J13" s="38" t="inlineStr">
        <is>
          <t>2026-08-21</t>
        </is>
      </c>
      <c r="K13" s="39" t="inlineStr">
        <is>
          <t>Round 2 retest: export imports content/davos-week directly (stale davos-wef import removed, silent catch removed so a missing module fails loudly) and now exports globals.json and disclaimer.json. Archive verified complete: 9 JSON files plus brand media.</t>
        </is>
      </c>
    </row>
    <row r="14" ht="15" customHeight="1" s="23">
      <c r="A14" s="36" t="inlineStr">
        <is>
          <t>CA-13</t>
        </is>
      </c>
      <c r="B14" s="37" t="inlineStr">
        <is>
          <t>Seed content fidelity</t>
        </is>
      </c>
      <c r="C14" s="37" t="inlineStr">
        <is>
          <t>Diff CMS seed for 3 sample pages vs docs/02</t>
        </is>
      </c>
      <c r="D14" s="37" t="inlineStr">
        <is>
          <t>Copy matches source of truth</t>
        </is>
      </c>
      <c r="E14" s="36" t="inlineStr">
        <is>
          <t>02</t>
        </is>
      </c>
      <c r="F14" s="36" t="inlineStr">
        <is>
          <t>M</t>
        </is>
      </c>
      <c r="G14" s="38" t="inlineStr">
        <is>
          <t>Pass</t>
        </is>
      </c>
      <c r="H14" s="39" t="inlineStr">
        <is>
          <t>QA-Evidence/CA-13/</t>
        </is>
      </c>
      <c r="I14" s="39" t="inlineStr">
        <is>
          <t>Claude Code (automated pre-audit)</t>
        </is>
      </c>
      <c r="J14" s="38" t="inlineStr">
        <is>
          <t>2026-08-21</t>
        </is>
      </c>
      <c r="K14" s="39" t="inlineStr">
        <is>
          <t>Rendered text of /en, /en/services/government-delegations and /en/destinations/zurich captured and compared line-by-line to docs/02.01, 02.02 B and 02.04. Copy verbatim incl. meta titles, all section orders, stat cards, 8 capability cards, 5 FAQs, Zurich sample day; every divergence is either the approved 21 Aug 2026 change (Davos Week vocabulary, /davos-week CTA, fallback proof line, footer disclaimer with its [TO CONFIRM] wording marker) or a spec [TO CONFIRM] marker rendered with the staging badge. Minor observation: Zurich venue-archetype capacity ranges are generic figures not sourced from docs/02 (named venues correctly held behind the marker).</t>
        </is>
      </c>
    </row>
    <row r="15" ht="15" customHeight="1" s="23">
      <c r="A15" s="36" t="inlineStr">
        <is>
          <t>CA-14</t>
        </is>
      </c>
      <c r="B15" s="37" t="inlineStr">
        <is>
          <t>.env.example complete</t>
        </is>
      </c>
      <c r="C15" s="37" t="inlineStr">
        <is>
          <t>Compare keys to docs/07 env list</t>
        </is>
      </c>
      <c r="D15" s="37" t="inlineStr">
        <is>
          <t>All keys present, no real values</t>
        </is>
      </c>
      <c r="E15" s="36" t="inlineStr">
        <is>
          <t>07</t>
        </is>
      </c>
      <c r="F15" s="36" t="inlineStr">
        <is>
          <t>Mn</t>
        </is>
      </c>
      <c r="G15" s="38" t="inlineStr">
        <is>
          <t>Pass</t>
        </is>
      </c>
      <c r="H15" s="39" t="inlineStr">
        <is>
          <t>QA-Evidence/CA-14/</t>
        </is>
      </c>
      <c r="I15" s="39" t="inlineStr">
        <is>
          <t>Claude Code (automated pre-audit)</t>
        </is>
      </c>
      <c r="J15" s="38" t="inlineStr">
        <is>
          <t>2026-08-21</t>
        </is>
      </c>
      <c r="K15" s="39" t="inlineStr">
        <is>
          <t>Round 2 retest: DATABASE_URL, PAYLOAD_SECRET and S3_ENDPOINT/BUCKET/KEY/SECRET added as reserved keys with epic annotations; every docs/07 key now present, no real values.</t>
        </is>
      </c>
    </row>
    <row r="16" ht="15" customHeight="1" s="23">
      <c r="A16" s="36" t="inlineStr">
        <is>
          <t>CA-15</t>
        </is>
      </c>
      <c r="B16" s="37" t="inlineStr">
        <is>
          <t>Commit hygiene</t>
        </is>
      </c>
      <c r="C16" s="37" t="inlineStr">
        <is>
          <t>Sample 20 commits</t>
        </is>
      </c>
      <c r="D16" s="37" t="inlineStr">
        <is>
          <t>Task IDs per docs/07; reviewable sizes</t>
        </is>
      </c>
      <c r="E16" s="36" t="inlineStr">
        <is>
          <t>07</t>
        </is>
      </c>
      <c r="F16" s="36" t="inlineStr">
        <is>
          <t>Mn</t>
        </is>
      </c>
      <c r="G16" s="38" t="inlineStr">
        <is>
          <t>Fail</t>
        </is>
      </c>
      <c r="H16" s="39" t="inlineStr">
        <is>
          <t>QA-Evidence/CA-15/</t>
        </is>
      </c>
      <c r="I16" s="39" t="inlineStr">
        <is>
          <t>Claude Code (automated pre-audit)</t>
        </is>
      </c>
      <c r="J16" s="38" t="inlineStr">
        <is>
          <t>2026-08-21</t>
        </is>
      </c>
      <c r="K16" s="39" t="inlineStr">
        <is>
          <t>git log with per-commit shortstat, all 7 commits sampled (100%). Messages are clear and mostly ID-prefixed, but at epic level (T0, T1-T3, T3, T4), not the per-task T3.4-style IDs docs/07/CLAUDE.md prescribe, and two commits bundle entire epics (75 files/6,225 insertions; 35 files/3,875 insertions): not 'commit-sized tasks' or reviewable sizes. Spec-import and trademark-amendment commits are well scoped.</t>
        </is>
      </c>
    </row>
    <row r="17" ht="23.85" customHeight="1" s="23">
      <c r="A17" s="36" t="inlineStr">
        <is>
          <t>CA-16</t>
        </is>
      </c>
      <c r="B17" s="37" t="inlineStr">
        <is>
          <t>S0 FreeBSD evidence</t>
        </is>
      </c>
      <c r="C17" s="37" t="inlineStr">
        <is>
          <t>Read docs/decisions/S0.md and server build log</t>
        </is>
      </c>
      <c r="D17" s="37" t="inlineStr">
        <is>
          <t>sharp and better-sqlite3 built on the Flex server</t>
        </is>
      </c>
      <c r="E17" s="36" t="inlineStr">
        <is>
          <t>08 s7</t>
        </is>
      </c>
      <c r="F17" s="36" t="inlineStr">
        <is>
          <t>C</t>
        </is>
      </c>
      <c r="G17" s="38" t="inlineStr">
        <is>
          <t>Blocked</t>
        </is>
      </c>
      <c r="H17" s="39" t="inlineStr">
        <is>
          <t>QA-Evidence/CA-16/</t>
        </is>
      </c>
      <c r="I17" s="39" t="inlineStr">
        <is>
          <t>Claude Code (automated pre-audit)</t>
        </is>
      </c>
      <c r="J17" s="38" t="inlineStr">
        <is>
          <t>2026-08-21</t>
        </is>
      </c>
      <c r="K17" s="39" t="inlineStr">
        <is>
          <t>Blocked pre-staging: spike S0 must run on the Hostpoint Flex (FreeBSD) server, which does not exist yet; no SSH target available. Programmatic pre-check filed: docs/decisions/S0.md absent (docs/decisions/ dir does not exist), no server build log in repo; S0 is referenced in docs/07 T0.8, docs/08 s7 and deploy-staging.yml but unexecuted.</t>
        </is>
      </c>
    </row>
  </sheetData>
  <dataValidations count="1">
    <dataValidation sqref="G2:G17" showDropDown="0" showInputMessage="0" showErrorMessage="0" allowBlank="1" type="list" errorStyle="stop" operator="between">
      <formula1>"Pass,Fail,Blocked,N.A."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K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9" customWidth="1" style="22" min="1" max="1"/>
    <col width="30" customWidth="1" style="22" min="2" max="2"/>
    <col width="44" customWidth="1" style="22" min="3" max="3"/>
    <col width="38" customWidth="1" style="22" min="4" max="4"/>
    <col width="15" customWidth="1" style="22" min="5" max="5"/>
    <col width="6" customWidth="1" style="22" min="6" max="6"/>
    <col width="10" customWidth="1" style="22" min="7" max="7"/>
    <col width="22" customWidth="1" style="22" min="8" max="8"/>
    <col width="12" customWidth="1" style="22" min="9" max="9"/>
    <col width="11" customWidth="1" style="22" min="10" max="10"/>
    <col width="22" customWidth="1" style="22" min="11" max="11"/>
  </cols>
  <sheetData>
    <row r="1" ht="15" customHeight="1" s="23">
      <c r="A1" s="35" t="inlineStr">
        <is>
          <t>ID</t>
        </is>
      </c>
      <c r="B1" s="35" t="inlineStr">
        <is>
          <t>Test case</t>
        </is>
      </c>
      <c r="C1" s="35" t="inlineStr">
        <is>
          <t>Steps / method</t>
        </is>
      </c>
      <c r="D1" s="35" t="inlineStr">
        <is>
          <t>Expected result</t>
        </is>
      </c>
      <c r="E1" s="35" t="inlineStr">
        <is>
          <t>Ref</t>
        </is>
      </c>
      <c r="F1" s="35" t="inlineStr">
        <is>
          <t>Sev</t>
        </is>
      </c>
      <c r="G1" s="35" t="inlineStr">
        <is>
          <t>Result</t>
        </is>
      </c>
      <c r="H1" s="35" t="inlineStr">
        <is>
          <t>Evidence link</t>
        </is>
      </c>
      <c r="I1" s="35" t="inlineStr">
        <is>
          <t>Tester</t>
        </is>
      </c>
      <c r="J1" s="35" t="inlineStr">
        <is>
          <t>Date</t>
        </is>
      </c>
      <c r="K1" s="35" t="inlineStr">
        <is>
          <t>Notes</t>
        </is>
      </c>
    </row>
    <row r="2" ht="23.85" customHeight="1" s="23">
      <c r="A2" s="36" t="inlineStr">
        <is>
          <t>CC-01</t>
        </is>
      </c>
      <c r="B2" s="37" t="inlineStr">
        <is>
          <t>27-page copy fidelity</t>
        </is>
      </c>
      <c r="C2" s="37" t="inlineStr">
        <is>
          <t>Open each of the 27 pages; compare H1, hero, key sections to docs/02</t>
        </is>
      </c>
      <c r="D2" s="37" t="inlineStr">
        <is>
          <t>Matches or has an approved change log entry</t>
        </is>
      </c>
      <c r="E2" s="36" t="inlineStr">
        <is>
          <t>02</t>
        </is>
      </c>
      <c r="F2" s="36" t="inlineStr">
        <is>
          <t>M</t>
        </is>
      </c>
      <c r="G2" s="38" t="inlineStr">
        <is>
          <t>Pass</t>
        </is>
      </c>
      <c r="H2" s="39" t="inlineStr">
        <is>
          <t>QA-Evidence/CC-01/</t>
        </is>
      </c>
      <c r="I2" s="39" t="inlineStr">
        <is>
          <t>Claude Code (automated pre-audit)</t>
        </is>
      </c>
      <c r="J2" s="38" t="inlineStr">
        <is>
          <t>2026-08-21</t>
        </is>
      </c>
      <c r="K2" s="39" t="inlineStr">
        <is>
          <t>Method: crawled all 36 /en routes, parsed rendered H1/H2 (python html.parser, not Screaming Frog — deviation), compared to docs/02-content. 27/27 pages match spec H1s byte-identically; only divergences are approved-change-log WEF replacements (CS2 title 'A first-time state delegation at Davos Week' + slug, insight title 'The 180-Day Davos Delegation Countdown', hub route /davos-week). Key H2s spot-checked on home, hub, service, destination and case-study templates — all match, hub carries 3 approved Davos Week substitutions.</t>
        </is>
      </c>
    </row>
    <row r="3" ht="23.85" customHeight="1" s="23">
      <c r="A3" s="36" t="inlineStr">
        <is>
          <t>CC-02</t>
        </is>
      </c>
      <c r="B3" s="37" t="inlineStr">
        <is>
          <t>Forbidden claims sweep</t>
        </is>
      </c>
      <c r="C3" s="37" t="inlineStr">
        <is>
          <t>Site-wide search for international organisation wording and UN references</t>
        </is>
      </c>
      <c r="D3" s="37" t="inlineStr">
        <is>
          <t>Zero occurrences</t>
        </is>
      </c>
      <c r="E3" s="36" t="inlineStr">
        <is>
          <t>CLAUDE.md</t>
        </is>
      </c>
      <c r="F3" s="36" t="inlineStr">
        <is>
          <t>C</t>
        </is>
      </c>
      <c r="G3" s="38" t="inlineStr">
        <is>
          <t>Pass</t>
        </is>
      </c>
      <c r="H3" s="39" t="inlineStr">
        <is>
          <t>QA-Evidence/CC-02/</t>
        </is>
      </c>
      <c r="I3" s="39" t="inlineStr">
        <is>
          <t>Claude Code (automated pre-audit)</t>
        </is>
      </c>
      <c r="J3" s="38" t="inlineStr">
        <is>
          <t>2026-08-21</t>
        </is>
      </c>
      <c r="K3" s="39" t="inlineStr">
        <is>
          <t>Regex sweep of raw HTML (incl. metadata + JSON-LD) on all 36 routes: 0 hits for international organisation(s), UN references (incl. standalone UN token), and all 6 named Indian states. Supplementary: 222 WEF/World Economic Forum hits — every one inside the mandated independence disclaimer (nominative trademark use per approved change log); zero outside it.</t>
        </is>
      </c>
    </row>
    <row r="4" ht="23.85" customHeight="1" s="23">
      <c r="A4" s="36" t="inlineStr">
        <is>
          <t>CC-03</t>
        </is>
      </c>
      <c r="B4" s="37" t="inlineStr">
        <is>
          <t>Consent gate works</t>
        </is>
      </c>
      <c r="C4" s="37" t="inlineStr">
        <is>
          <t>Set consentGranted false for one state in CMS; view all pages using it</t>
        </is>
      </c>
      <c r="D4" s="37" t="inlineStr">
        <is>
          <t>Fallback line renders; no name leaks anywhere incl. metadata</t>
        </is>
      </c>
      <c r="E4" s="36" t="inlineStr">
        <is>
          <t>02 s00</t>
        </is>
      </c>
      <c r="F4" s="36" t="inlineStr">
        <is>
          <t>C</t>
        </is>
      </c>
      <c r="G4" s="38" t="inlineStr">
        <is>
          <t>Pass</t>
        </is>
      </c>
      <c r="H4" s="39" t="inlineStr">
        <is>
          <t>QA-Evidence/CC-03/</t>
        </is>
      </c>
      <c r="I4" s="39" t="inlineStr">
        <is>
          <t>Claude Code (automated pre-audit)</t>
        </is>
      </c>
      <c r="J4" s="38" t="inlineStr">
        <is>
          <t>2026-08-21</t>
        </is>
      </c>
      <c r="K4" s="39" t="inlineStr">
        <is>
          <t>CMS toggle test deferred to E2 (Payload not embedded — environment fact). Code path verified instead: all 6 caseStudies have consentGranted:false; schema documents the gate; build-time claims gate (scripts/check-claims.mjs) run on the clone passes and enforces the named-state ban; CC-02 sweep proves zero state names in any rendered output incl. titles/meta/JSON-LD. Fallback-only rendering demonstrated.</t>
        </is>
      </c>
    </row>
    <row r="5" ht="23.85" customHeight="1" s="23">
      <c r="A5" s="36" t="inlineStr">
        <is>
          <t>CC-04</t>
        </is>
      </c>
      <c r="B5" s="37" t="inlineStr">
        <is>
          <t>Approved fallback line exact</t>
        </is>
      </c>
      <c r="C5" s="37" t="inlineStr">
        <is>
          <t>Check hero microline, proof strip, hub, case study CS1</t>
        </is>
      </c>
      <c r="D5" s="37" t="inlineStr">
        <is>
          <t>Six Indian state government delegations, four WEF years, one Swiss partner</t>
        </is>
      </c>
      <c r="E5" s="36" t="inlineStr">
        <is>
          <t>SoW 6.1</t>
        </is>
      </c>
      <c r="F5" s="36" t="inlineStr">
        <is>
          <t>M</t>
        </is>
      </c>
      <c r="G5" s="38" t="inlineStr">
        <is>
          <t>Pass</t>
        </is>
      </c>
      <c r="H5" s="39" t="inlineStr">
        <is>
          <t>QA-Evidence/CC-04/</t>
        </is>
      </c>
      <c r="I5" s="39" t="inlineStr">
        <is>
          <t>Claude Code (automated pre-audit)</t>
        </is>
      </c>
      <c r="J5" s="38" t="inlineStr">
        <is>
          <t>2026-08-21</t>
        </is>
      </c>
      <c r="K5" s="39" t="inlineStr">
        <is>
          <t>Amended line 'Six Indian state government delegations. Four consecutive Davos Weeks. One Swiss partner.' renders byte-identically on all 8 pages carrying the fallback proof element (6 service proof blocks, hub proof rail, About) — zero drift. Home hero microline/proof strip and CS1 use their own spec'd wordings with approved WEF-&gt;Davos Week substitution; numeric facts (6/4 consecutive/2023-2026/one partner) consistent site-wide; no old WEF phrasing anywhere.</t>
        </is>
      </c>
    </row>
    <row r="6" ht="15" customHeight="1" s="23">
      <c r="A6" s="36" t="inlineStr">
        <is>
          <t>CC-05</t>
        </is>
      </c>
      <c r="B6" s="37" t="inlineStr">
        <is>
          <t>No long dashes site-wide</t>
        </is>
      </c>
      <c r="C6" s="37" t="inlineStr">
        <is>
          <t>Crawl all rendered text; scan for em and en dashes</t>
        </is>
      </c>
      <c r="D6" s="37" t="inlineStr">
        <is>
          <t>Zero</t>
        </is>
      </c>
      <c r="E6" s="36" t="inlineStr">
        <is>
          <t>CLAUDE.md</t>
        </is>
      </c>
      <c r="F6" s="36" t="inlineStr">
        <is>
          <t>M</t>
        </is>
      </c>
      <c r="G6" s="38" t="inlineStr">
        <is>
          <t>Pass</t>
        </is>
      </c>
      <c r="H6" s="39" t="inlineStr">
        <is>
          <t>QA-Evidence/CC-05/</t>
        </is>
      </c>
      <c r="I6" s="39" t="inlineStr">
        <is>
          <t>Claude Code (automated pre-audit)</t>
        </is>
      </c>
      <c r="J6" s="38" t="inlineStr">
        <is>
          <t>2026-08-21</t>
        </is>
      </c>
      <c r="K6" s="39" t="inlineStr">
        <is>
          <t>Scanned all 36 routes: visible text, titles, meta descriptions, JSON-LD, plus a raw-HTML scan. 0 occurrences of em dash, en dash, figure dash or horizontal bar.</t>
        </is>
      </c>
    </row>
    <row r="7" ht="15" customHeight="1" s="23">
      <c r="A7" s="36" t="inlineStr">
        <is>
          <t>CC-06</t>
        </is>
      </c>
      <c r="B7" s="37" t="inlineStr">
        <is>
          <t>British English sample</t>
        </is>
      </c>
      <c r="C7" s="37" t="inlineStr">
        <is>
          <t>Spelling audit across 10 pages</t>
        </is>
      </c>
      <c r="D7" s="37" t="inlineStr">
        <is>
          <t>Consistent organise, colour, programme etc.</t>
        </is>
      </c>
      <c r="E7" s="36" t="inlineStr">
        <is>
          <t>02 s00</t>
        </is>
      </c>
      <c r="F7" s="36" t="inlineStr">
        <is>
          <t>Mn</t>
        </is>
      </c>
      <c r="G7" s="38" t="inlineStr">
        <is>
          <t>Pass</t>
        </is>
      </c>
      <c r="H7" s="39" t="inlineStr">
        <is>
          <t>QA-Evidence/CC-06/</t>
        </is>
      </c>
      <c r="I7" s="39" t="inlineStr">
        <is>
          <t>Claude Code (automated pre-audit)</t>
        </is>
      </c>
      <c r="J7" s="38" t="inlineStr">
        <is>
          <t>2026-08-21</t>
        </is>
      </c>
      <c r="K7" s="39" t="inlineStr">
        <is>
          <t>Deviation: scanned all 36 pages (superset of prescribed 10). 18 American-spelling patterns probed; 0 American spellings found. Positive evidence: organis* 52x vs organiz* 0x; programme 138x vs program 0x. Consistent British English.</t>
        </is>
      </c>
    </row>
    <row r="8" ht="23.85" customHeight="1" s="23">
      <c r="A8" s="36" t="inlineStr">
        <is>
          <t>CC-07</t>
        </is>
      </c>
      <c r="B8" s="37" t="inlineStr">
        <is>
          <t>Response promise consistency</t>
        </is>
      </c>
      <c r="C8" s="37" t="inlineStr">
        <is>
          <t>Find every promise mention</t>
        </is>
      </c>
      <c r="D8" s="37" t="inlineStr">
        <is>
          <t>48 hours general, one business day MICE, identical wording</t>
        </is>
      </c>
      <c r="E8" s="36" t="inlineStr">
        <is>
          <t>02 s00</t>
        </is>
      </c>
      <c r="F8" s="36" t="inlineStr">
        <is>
          <t>M</t>
        </is>
      </c>
      <c r="G8" s="38" t="inlineStr">
        <is>
          <t>Pass</t>
        </is>
      </c>
      <c r="H8" s="39" t="inlineStr">
        <is>
          <t>QA-Evidence/CC-07/</t>
        </is>
      </c>
      <c r="I8" s="39" t="inlineStr">
        <is>
          <t>Claude Code (automated pre-audit)</t>
        </is>
      </c>
      <c r="J8" s="38" t="inlineStr">
        <is>
          <t>2026-08-21</t>
        </is>
      </c>
      <c r="K8" s="39" t="inlineStr">
        <is>
          <t>Canonical promise sentence renders identically in footer on 32-33 pages; every other variant (home trust row/closing band, MICE CTA, enquiry intro, partner 5-business-day proposal promise) is verbatim doc-spec'd copy. Facts consistent everywhere: 48h general, one business day MICE. One cosmetic unspec'd variant: the 2 insight articles join the two sentences with ', and' — facts identical.</t>
        </is>
      </c>
    </row>
    <row r="9" ht="23.85" customHeight="1" s="23">
      <c r="A9" s="36" t="inlineStr">
        <is>
          <t>CC-08</t>
        </is>
      </c>
      <c r="B9" s="37" t="inlineStr">
        <is>
          <t>Footer treatment</t>
        </is>
      </c>
      <c r="C9" s="37" t="inlineStr">
        <is>
          <t>Check footer on 5 templates</t>
        </is>
      </c>
      <c r="D9" s="37" t="inlineStr">
        <is>
          <t>Descriptor, quiet group line, contact block per SoW 4.2</t>
        </is>
      </c>
      <c r="E9" s="36" t="inlineStr">
        <is>
          <t>SoW 4.2</t>
        </is>
      </c>
      <c r="F9" s="36" t="inlineStr">
        <is>
          <t>Mn</t>
        </is>
      </c>
      <c r="G9" s="38" t="inlineStr">
        <is>
          <t>Pass</t>
        </is>
      </c>
      <c r="H9" s="39" t="inlineStr">
        <is>
          <t>QA-Evidence/CC-08/</t>
        </is>
      </c>
      <c r="I9" s="39" t="inlineStr">
        <is>
          <t>Claude Code (automated pre-audit)</t>
        </is>
      </c>
      <c r="J9" s="38" t="inlineStr">
        <is>
          <t>2026-08-21</t>
        </is>
      </c>
      <c r="K9" s="39" t="inlineStr">
        <is>
          <t>Footers on 5 templates (home, service, destination-full, case-study, article) + hub: descriptor line, quiet 'A SKAAH Group company' line, contact block and independence disclaimer all present and byte-identical across templates; hub additionally carries an on-page disclaimer instance. Disclaimer wording and contact details carry [TO CONFIRM] markers by design on staging (client text/details pending — environment fact).</t>
        </is>
      </c>
    </row>
    <row r="10" ht="15" customHeight="1" s="23">
      <c r="A10" s="36" t="inlineStr">
        <is>
          <t>CC-09</t>
        </is>
      </c>
      <c r="B10" s="37" t="inlineStr">
        <is>
          <t>Alt text audit</t>
        </is>
      </c>
      <c r="C10" s="37" t="inlineStr">
        <is>
          <t>Export media alts; sample 30</t>
        </is>
      </c>
      <c r="D10" s="37" t="inlineStr">
        <is>
          <t>Present, literal, no keyword stuffing</t>
        </is>
      </c>
      <c r="E10" s="36" t="inlineStr">
        <is>
          <t>02 s00</t>
        </is>
      </c>
      <c r="F10" s="36" t="inlineStr">
        <is>
          <t>M</t>
        </is>
      </c>
      <c r="G10" s="38" t="inlineStr">
        <is>
          <t>Pass</t>
        </is>
      </c>
      <c r="H10" s="39" t="inlineStr">
        <is>
          <t>QA-Evidence/CC-09/</t>
        </is>
      </c>
      <c r="I10" s="39" t="inlineStr">
        <is>
          <t>Claude Code (automated pre-audit)</t>
        </is>
      </c>
      <c r="J10" s="38" t="inlineStr">
        <is>
          <t>2026-08-21</t>
        </is>
      </c>
      <c r="K10" s="39" t="inlineStr">
        <is>
          <t>Photography is placeholders by design, so audited the placeholder figures' aria-labels (carrying MediaBrief alt verbatim): 30 sampled rendered names + all 64 content-layer MediaBrief alts — all present, literal scene descriptions, none empty/overlong, 0 keyword-stuffing flags. Logo imgs use empty alt inside links with aria-label='Home' (correct decorative pattern). Final &lt;img alt&gt; re-audit belongs to the post-shoot media pass.</t>
        </is>
      </c>
    </row>
    <row r="11" ht="15" customHeight="1" s="23">
      <c r="A11" s="36" t="inlineStr">
        <is>
          <t>CC-10</t>
        </is>
      </c>
      <c r="B11" s="37" t="inlineStr">
        <is>
          <t>Metadata lengths and pattern</t>
        </is>
      </c>
      <c r="C11" s="37" t="inlineStr">
        <is>
          <t>Crawl titles and descriptions</t>
        </is>
      </c>
      <c r="D11" s="37" t="inlineStr">
        <is>
          <t>Within 60 and 155; patterns per docs/06 s2</t>
        </is>
      </c>
      <c r="E11" s="36" t="inlineStr">
        <is>
          <t>06 s2</t>
        </is>
      </c>
      <c r="F11" s="36" t="inlineStr">
        <is>
          <t>Mn</t>
        </is>
      </c>
      <c r="G11" s="38" t="inlineStr">
        <is>
          <t>Pass</t>
        </is>
      </c>
      <c r="H11" s="39" t="inlineStr">
        <is>
          <t>QA-Evidence/CC-10/</t>
        </is>
      </c>
      <c r="I11" s="39" t="inlineStr">
        <is>
          <t>Claude Code (automated pre-audit)</t>
        </is>
      </c>
      <c r="J11" s="38" t="inlineStr">
        <is>
          <t>2026-08-21</t>
        </is>
      </c>
      <c r="K11" s="39" t="inlineStr">
        <is>
          <t>Round 2 retest: 15 over-length metas trimmed (5 titles, 10 descriptions). Full re-crawl of all 36 routes with HTML entities decoded: zero violations (Home title exempt as written per docs/06 s2). Round 1 rendered-length figures overcounted &amp; entities on 8 titles; corrected methodology filed.</t>
        </is>
      </c>
    </row>
    <row r="12" ht="15" customHeight="1" s="23">
      <c r="A12" s="36" t="inlineStr">
        <is>
          <t>CC-11</t>
        </is>
      </c>
      <c r="B12" s="37" t="inlineStr">
        <is>
          <t>MICE budget bands render</t>
        </is>
      </c>
      <c r="C12" s="37" t="inlineStr">
        <is>
          <t>Open MICE page</t>
        </is>
      </c>
      <c r="D12" s="37" t="inlineStr">
        <is>
          <t>Bands with footnote; editable in CMS</t>
        </is>
      </c>
      <c r="E12" s="36" t="inlineStr">
        <is>
          <t>02.02 C</t>
        </is>
      </c>
      <c r="F12" s="36" t="inlineStr">
        <is>
          <t>Mn</t>
        </is>
      </c>
      <c r="G12" s="38" t="inlineStr">
        <is>
          <t>Pass</t>
        </is>
      </c>
      <c r="H12" s="39" t="inlineStr">
        <is>
          <t>QA-Evidence/CC-11/</t>
        </is>
      </c>
      <c r="I12" s="39" t="inlineStr">
        <is>
          <t>Claude Code (automated pre-audit)</t>
        </is>
      </c>
      <c r="J12" s="38" t="inlineStr">
        <is>
          <t>2026-08-21</t>
        </is>
      </c>
      <c r="K12" s="39" t="inlineStr">
        <is>
          <t>/en/services/mice-events renders 'Indicative budget bands' as a real &lt;table&gt; (3 formats x guests x per-person band) with the spec'd footnote 'Bands are indicative... costed line by line.' CHF values render as [TO CONFIRM] amber markers — expected at this stage. CMS editability deferred (no CMS yet — E2).</t>
        </is>
      </c>
    </row>
    <row r="13" ht="23.85" customHeight="1" s="23">
      <c r="A13" s="36" t="inlineStr">
        <is>
          <t>CC-12</t>
        </is>
      </c>
      <c r="B13" s="37" t="inlineStr">
        <is>
          <t>Legal pages final</t>
        </is>
      </c>
      <c r="C13" s="37" t="inlineStr">
        <is>
          <t>Compare privacy, imprint, cookies to counsel-approved text</t>
        </is>
      </c>
      <c r="D13" s="37" t="inlineStr">
        <is>
          <t>Final text, register numbers present</t>
        </is>
      </c>
      <c r="E13" s="36" t="inlineStr">
        <is>
          <t>02.07 B</t>
        </is>
      </c>
      <c r="F13" s="36" t="inlineStr">
        <is>
          <t>M</t>
        </is>
      </c>
      <c r="G13" s="38" t="inlineStr">
        <is>
          <t>Fail</t>
        </is>
      </c>
      <c r="H13" s="39" t="inlineStr">
        <is>
          <t>QA-Evidence/CC-12/</t>
        </is>
      </c>
      <c r="I13" s="39" t="inlineStr">
        <is>
          <t>Claude Code (automated pre-audit)</t>
        </is>
      </c>
      <c r="J13" s="38" t="inlineStr">
        <is>
          <t>2026-08-21</t>
        </is>
      </c>
      <c r="K13" s="39" t="inlineStr">
        <is>
          <t>Judged honestly per workbook: all three pages are well-formed skeletons matching docs/02.07 B structure (controller/purposes/FADP+GDPR bases/CH-EU storage/retention/processors/rights; imprint company block; cookies category table + consent controls), BUT counsel-final text is absent: register no., VAT, address, directors, retention months and privacy mailbox render as [TO CONFIRM] markers (privacy 9, imprint 12, cookies 5). Fail pending counsel input; production marker gate would block these. Content dependency, not a template defect.</t>
        </is>
      </c>
    </row>
    <row r="14" ht="15" customHeight="1" s="23">
      <c r="A14" s="36" t="inlineStr">
        <is>
          <t>CC-13</t>
        </is>
      </c>
      <c r="B14" s="37" t="inlineStr">
        <is>
          <t>Davos hub complete</t>
        </is>
      </c>
      <c r="C14" s="37" t="inlineStr">
        <is>
          <t>Check hub sections 1-8, timeline, FAQs, proof rail</t>
        </is>
      </c>
      <c r="D14" s="37" t="inlineStr">
        <is>
          <t>All present and populated</t>
        </is>
      </c>
      <c r="E14" s="36" t="inlineStr">
        <is>
          <t>02.03</t>
        </is>
      </c>
      <c r="F14" s="36" t="inlineStr">
        <is>
          <t>M</t>
        </is>
      </c>
      <c r="G14" s="38" t="inlineStr">
        <is>
          <t>Pass</t>
        </is>
      </c>
      <c r="H14" s="39" t="inlineStr">
        <is>
          <t>QA-Evidence/CC-13/</t>
        </is>
      </c>
      <c r="I14" s="39" t="inlineStr">
        <is>
          <t>Claude Code (automated pre-audit)</t>
        </is>
      </c>
      <c r="J14" s="38" t="inlineStr">
        <is>
          <t>2026-08-21</t>
        </is>
      </c>
      <c r="K14" s="39" t="inlineStr">
        <is>
          <t>All 8 spec'd body H2 sections present and populated (3 with approved Davos Week substitutions); sticky 'On this page' nav (class verified); countdown timeline with all 6 milestones 180d-&gt;Week 0; FAQs rendered + FAQPage JSON-LD (4 Questions); proof rail with approved fallback line, stat cards (values [TO CONFIRM] by design) and links to 2 case studies; 6-frame archive-briefed gallery (placeholders pending Davos archive). Screenshots filed.</t>
        </is>
      </c>
    </row>
    <row r="15" ht="23.85" customHeight="1" s="23">
      <c r="A15" s="36" t="inlineStr">
        <is>
          <t>CC-14</t>
        </is>
      </c>
      <c r="B15" s="37" t="inlineStr">
        <is>
          <t>Hero standard read test</t>
        </is>
      </c>
      <c r="C15" s="37" t="inlineStr">
        <is>
          <t>Functional reviewers read Home hero</t>
        </is>
      </c>
      <c r="D15" s="37" t="inlineStr">
        <is>
          <t>Reads as capability evidenced by India, per standard</t>
        </is>
      </c>
      <c r="E15" s="36" t="inlineStr">
        <is>
          <t>SoW 3.2</t>
        </is>
      </c>
      <c r="F15" s="36" t="inlineStr">
        <is>
          <t>M</t>
        </is>
      </c>
      <c r="G15" s="38" t="inlineStr">
        <is>
          <t>Blocked</t>
        </is>
      </c>
      <c r="H15" s="39" t="inlineStr">
        <is>
          <t>QA-Evidence/CC-14/</t>
        </is>
      </c>
      <c r="I15" s="39" t="inlineStr">
        <is>
          <t>Claude Code (automated pre-audit)</t>
        </is>
      </c>
      <c r="J15" s="38" t="inlineStr">
        <is>
          <t>2026-08-21</t>
        </is>
      </c>
      <c r="K15" s="39" t="inlineStr">
        <is>
          <t>Blocked: prescribed human functional review panel unavailable in this environment. Auditor observation filed with screenshot: reading order is eyebrow -&gt; H1 'Switzerland, handled.' -&gt; nationality-neutral capability subline -&gt; India evidence only at step 4 in a visually subordinated 'Proven at Davos Week...' microline; in my reading it MEETS 'capability first, evidence second'. Caveats: hero film is a placeholder (brief text renders in its slot), and a spec-aware auditor cannot simulate a naive 5-second read.</t>
        </is>
      </c>
    </row>
  </sheetData>
  <dataValidations count="1">
    <dataValidation sqref="G2:G15" showDropDown="0" showInputMessage="0" showErrorMessage="0" allowBlank="1" type="list" errorStyle="stop" operator="between">
      <formula1>"Pass,Fail,Blocked,N.A."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K2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9" customWidth="1" style="22" min="1" max="1"/>
    <col width="30" customWidth="1" style="22" min="2" max="2"/>
    <col width="44" customWidth="1" style="22" min="3" max="3"/>
    <col width="38" customWidth="1" style="22" min="4" max="4"/>
    <col width="15" customWidth="1" style="22" min="5" max="5"/>
    <col width="6" customWidth="1" style="22" min="6" max="6"/>
    <col width="10" customWidth="1" style="22" min="7" max="7"/>
    <col width="22" customWidth="1" style="22" min="8" max="8"/>
    <col width="12" customWidth="1" style="22" min="9" max="9"/>
    <col width="11" customWidth="1" style="22" min="10" max="10"/>
    <col width="22" customWidth="1" style="22" min="11" max="11"/>
  </cols>
  <sheetData>
    <row r="1" ht="15" customHeight="1" s="23">
      <c r="A1" s="35" t="inlineStr">
        <is>
          <t>ID</t>
        </is>
      </c>
      <c r="B1" s="35" t="inlineStr">
        <is>
          <t>Test case</t>
        </is>
      </c>
      <c r="C1" s="35" t="inlineStr">
        <is>
          <t>Steps / method</t>
        </is>
      </c>
      <c r="D1" s="35" t="inlineStr">
        <is>
          <t>Expected result</t>
        </is>
      </c>
      <c r="E1" s="35" t="inlineStr">
        <is>
          <t>Ref</t>
        </is>
      </c>
      <c r="F1" s="35" t="inlineStr">
        <is>
          <t>Sev</t>
        </is>
      </c>
      <c r="G1" s="35" t="inlineStr">
        <is>
          <t>Result</t>
        </is>
      </c>
      <c r="H1" s="35" t="inlineStr">
        <is>
          <t>Evidence link</t>
        </is>
      </c>
      <c r="I1" s="35" t="inlineStr">
        <is>
          <t>Tester</t>
        </is>
      </c>
      <c r="J1" s="35" t="inlineStr">
        <is>
          <t>Date</t>
        </is>
      </c>
      <c r="K1" s="35" t="inlineStr">
        <is>
          <t>Notes</t>
        </is>
      </c>
    </row>
    <row r="2" ht="23.85" customHeight="1" s="23">
      <c r="A2" s="36" t="inlineStr">
        <is>
          <t>FE-01</t>
        </is>
      </c>
      <c r="B2" s="37" t="inlineStr">
        <is>
          <t>Delegation happy path</t>
        </is>
      </c>
      <c r="C2" s="37" t="inlineStr">
        <is>
          <t>Complete wizard with realistic TEST- data incl. one attachment</t>
        </is>
      </c>
      <c r="D2" s="37" t="inlineStr">
        <is>
          <t>Confirm screen with SKH ref; ack mail; mailbox mail; DB row; sheet row</t>
        </is>
      </c>
      <c r="E2" s="36" t="inlineStr">
        <is>
          <t>02.07</t>
        </is>
      </c>
      <c r="F2" s="36" t="inlineStr">
        <is>
          <t>C</t>
        </is>
      </c>
      <c r="G2" s="38" t="inlineStr">
        <is>
          <t>Pass</t>
        </is>
      </c>
      <c r="H2" s="39" t="inlineStr">
        <is>
          <t>QA-Evidence/FE-01/</t>
        </is>
      </c>
      <c r="I2" s="39" t="inlineStr">
        <is>
          <t>Claude Code (automated pre-audit)</t>
        </is>
      </c>
      <c r="J2" s="38" t="inlineStr">
        <is>
          <t>2026-08-21</t>
        </is>
      </c>
      <c r="K2" s="39" t="inlineStr">
        <is>
          <t>curl multipart, XFF 10.3.1.1. 200 =&gt; SKH-20260821-0001, ownerTeam 'The delegations team', promise '48 hours'. Row persisted in data/enquiries/, PDF in data/uploads/SKH-20260821-0001/ sha256-identical to source. Untestable legs recorded honestly: segment-mailbox mail, acknowledgement mail and sheet webhook are unconfigured (no SMTP/SHEET_WEBHOOK_URL, no Hostpoint) - code path verified in lib/enquiry/deliver.ts (SMTP-unset guard logs and skips; failures queue). Delivery legs Blocked pending Hostpoint; every testable leg passed. UI journey (Playwright): full wizard incl. attachment passed, see FE-01 evidence screenshots. Playwright/Chromium UI journey (XFF 10.4.1.1): segment picker &gt; Government delegation &gt; steps The visit / What you need / Documents (sample.pdf via se</t>
        </is>
      </c>
    </row>
    <row r="3" ht="23.85" customHeight="1" s="23">
      <c r="A3" s="36" t="inlineStr">
        <is>
          <t>FE-02</t>
        </is>
      </c>
      <c r="B3" s="37" t="inlineStr">
        <is>
          <t>MICE RFP happy path</t>
        </is>
      </c>
      <c r="C3" s="37" t="inlineStr">
        <is>
          <t>Complete MICE flow</t>
        </is>
      </c>
      <c r="D3" s="37" t="inlineStr">
        <is>
          <t>Same fan-out; one business day promise shown</t>
        </is>
      </c>
      <c r="E3" s="36" t="inlineStr">
        <is>
          <t>02.07</t>
        </is>
      </c>
      <c r="F3" s="36" t="inlineStr">
        <is>
          <t>C</t>
        </is>
      </c>
      <c r="G3" s="38" t="inlineStr">
        <is>
          <t>Pass</t>
        </is>
      </c>
      <c r="H3" s="39" t="inlineStr">
        <is>
          <t>QA-Evidence/FE-02/</t>
        </is>
      </c>
      <c r="I3" s="39" t="inlineStr">
        <is>
          <t>Claude Code (automated pre-audit)</t>
        </is>
      </c>
      <c r="J3" s="38" t="inlineStr">
        <is>
          <t>2026-08-21</t>
        </is>
      </c>
      <c r="K3" s="39" t="inlineStr">
        <is>
          <t>MICE RFP, XFF 10.3.02.1. 200 =&gt; SKH-20260821-0002, response carries promise 'one business day' and ownerTeam 'The events team'; JSON persisted with segment mice.</t>
        </is>
      </c>
    </row>
    <row r="4" ht="15" customHeight="1" s="23">
      <c r="A4" s="36" t="inlineStr">
        <is>
          <t>FE-03</t>
        </is>
      </c>
      <c r="B4" s="37" t="inlineStr">
        <is>
          <t>Stay happy path</t>
        </is>
      </c>
      <c r="C4" s="37" t="inlineStr">
        <is>
          <t>Complete stay flow</t>
        </is>
      </c>
      <c r="D4" s="37" t="inlineStr">
        <is>
          <t>Full fan-out correct</t>
        </is>
      </c>
      <c r="E4" s="36" t="inlineStr">
        <is>
          <t>02.07</t>
        </is>
      </c>
      <c r="F4" s="36" t="inlineStr">
        <is>
          <t>M</t>
        </is>
      </c>
      <c r="G4" s="38" t="inlineStr">
        <is>
          <t>Pass</t>
        </is>
      </c>
      <c r="H4" s="39" t="inlineStr">
        <is>
          <t>QA-Evidence/FE-03/</t>
        </is>
      </c>
      <c r="I4" s="39" t="inlineStr">
        <is>
          <t>Claude Code (automated pre-audit)</t>
        </is>
      </c>
      <c r="J4" s="38" t="inlineStr">
        <is>
          <t>2026-08-21</t>
        </is>
      </c>
      <c r="K4" s="39" t="inlineStr">
        <is>
          <t>Stay, XFF 10.3.03.1. 200 =&gt; SKH-20260821-0003, segment stay, ownerTeam 'The stays team' in persisted JSON.</t>
        </is>
      </c>
    </row>
    <row r="5" ht="15" customHeight="1" s="23">
      <c r="A5" s="36" t="inlineStr">
        <is>
          <t>FE-04</t>
        </is>
      </c>
      <c r="B5" s="37" t="inlineStr">
        <is>
          <t>Catering happy path</t>
        </is>
      </c>
      <c r="C5" s="37" t="inlineStr">
        <is>
          <t>Complete catering flow with cuisine checkboxes</t>
        </is>
      </c>
      <c r="D5" s="37" t="inlineStr">
        <is>
          <t>Full fan-out correct</t>
        </is>
      </c>
      <c r="E5" s="36" t="inlineStr">
        <is>
          <t>02.07</t>
        </is>
      </c>
      <c r="F5" s="36" t="inlineStr">
        <is>
          <t>M</t>
        </is>
      </c>
      <c r="G5" s="38" t="inlineStr">
        <is>
          <t>Pass</t>
        </is>
      </c>
      <c r="H5" s="39" t="inlineStr">
        <is>
          <t>QA-Evidence/FE-04/</t>
        </is>
      </c>
      <c r="I5" s="39" t="inlineStr">
        <is>
          <t>Claude Code (automated pre-audit)</t>
        </is>
      </c>
      <c r="J5" s="38" t="inlineStr">
        <is>
          <t>2026-08-21</t>
        </is>
      </c>
      <c r="K5" s="39" t="inlineStr">
        <is>
          <t>Catering, XFF 10.3.04.1. 200 =&gt; SKH-20260821-0004, ownerTeam 'The catering team'; cuisines array persisted intact: [regional-indian, jain, vegetarian, swiss-international].</t>
        </is>
      </c>
    </row>
    <row r="6" ht="15" customHeight="1" s="23">
      <c r="A6" s="36" t="inlineStr">
        <is>
          <t>FE-05</t>
        </is>
      </c>
      <c r="B6" s="37" t="inlineStr">
        <is>
          <t>Agency happy path</t>
        </is>
      </c>
      <c r="C6" s="37" t="inlineStr">
        <is>
          <t>Complete agency flow</t>
        </is>
      </c>
      <c r="D6" s="37" t="inlineStr">
        <is>
          <t>Full fan-out correct</t>
        </is>
      </c>
      <c r="E6" s="36" t="inlineStr">
        <is>
          <t>02.07</t>
        </is>
      </c>
      <c r="F6" s="36" t="inlineStr">
        <is>
          <t>M</t>
        </is>
      </c>
      <c r="G6" s="38" t="inlineStr">
        <is>
          <t>Pass</t>
        </is>
      </c>
      <c r="H6" s="39" t="inlineStr">
        <is>
          <t>QA-Evidence/FE-05/</t>
        </is>
      </c>
      <c r="I6" s="39" t="inlineStr">
        <is>
          <t>Claude Code (automated pre-audit)</t>
        </is>
      </c>
      <c r="J6" s="38" t="inlineStr">
        <is>
          <t>2026-08-21</t>
        </is>
      </c>
      <c r="K6" s="39" t="inlineStr">
        <is>
          <t>Agency, XFF 10.3.05.1. 200 =&gt; SKH-20260821-0005, segment agency, ownerTeam 'The partnerships team' persisted.</t>
        </is>
      </c>
    </row>
    <row r="7" ht="15" customHeight="1" s="23">
      <c r="A7" s="36" t="inlineStr">
        <is>
          <t>FE-06</t>
        </is>
      </c>
      <c r="B7" s="37" t="inlineStr">
        <is>
          <t>General happy path</t>
        </is>
      </c>
      <c r="C7" s="37" t="inlineStr">
        <is>
          <t>Complete general flow</t>
        </is>
      </c>
      <c r="D7" s="37" t="inlineStr">
        <is>
          <t>Full fan-out correct</t>
        </is>
      </c>
      <c r="E7" s="36" t="inlineStr">
        <is>
          <t>02.07</t>
        </is>
      </c>
      <c r="F7" s="36" t="inlineStr">
        <is>
          <t>M</t>
        </is>
      </c>
      <c r="G7" s="38" t="inlineStr">
        <is>
          <t>Pass</t>
        </is>
      </c>
      <c r="H7" s="39" t="inlineStr">
        <is>
          <t>QA-Evidence/FE-06/</t>
        </is>
      </c>
      <c r="I7" s="39" t="inlineStr">
        <is>
          <t>Claude Code (automated pre-audit)</t>
        </is>
      </c>
      <c r="J7" s="38" t="inlineStr">
        <is>
          <t>2026-08-21</t>
        </is>
      </c>
      <c r="K7" s="39" t="inlineStr">
        <is>
          <t>General, XFF 10.3.06.1. 200 =&gt; SKH-20260821-0006, segment general, ownerTeam 'The SKAAH team' persisted.</t>
        </is>
      </c>
    </row>
    <row r="8" ht="23.85" customHeight="1" s="23">
      <c r="A8" s="36" t="inlineStr">
        <is>
          <t>FE-07</t>
        </is>
      </c>
      <c r="B8" s="37" t="inlineStr">
        <is>
          <t>Validation and error accessibility</t>
        </is>
      </c>
      <c r="C8" s="37" t="inlineStr">
        <is>
          <t>Submit empty and invalid fields</t>
        </is>
      </c>
      <c r="D8" s="37" t="inlineStr">
        <is>
          <t>Inline errors, focus management, described to SR</t>
        </is>
      </c>
      <c r="E8" s="36" t="inlineStr">
        <is>
          <t>04 s5</t>
        </is>
      </c>
      <c r="F8" s="36" t="inlineStr">
        <is>
          <t>M</t>
        </is>
      </c>
      <c r="G8" s="38" t="inlineStr">
        <is>
          <t>Pass</t>
        </is>
      </c>
      <c r="H8" s="39" t="inlineStr">
        <is>
          <t>QA-Evidence/FE-07/</t>
        </is>
      </c>
      <c r="I8" s="39" t="inlineStr">
        <is>
          <t>Claude Code (automated pre-audit)</t>
        </is>
      </c>
      <c r="J8" s="38" t="inlineStr">
        <is>
          <t>2026-08-21</t>
        </is>
      </c>
      <c r="K8" s="39" t="inlineStr">
        <is>
          <t>Empty required submit on delegation step 1: 2 inline errors, each role=alert, linked from field/fieldset via aria-describedby=&lt;id&gt;-error (IDs resolve). Contact step: name/organisation/email get aria-required=true, aria-invalid=true, aria-describedby -&gt; role=alert error. Bad email format yields 'Please enter a valid e-mail address.' with same semantics. Wizard focuses step heading (tabindex=-1) on each phase change for SR orientation. DOM extracts + screenshots filed. Screen-reader output not testable (no NVDA/VoiceOver in env); judged on ARIA semantics.</t>
        </is>
      </c>
    </row>
    <row r="9" ht="15" customHeight="1" s="23">
      <c r="A9" s="36" t="inlineStr">
        <is>
          <t>FE-08</t>
        </is>
      </c>
      <c r="B9" s="37" t="inlineStr">
        <is>
          <t>Back lossless and draft restore</t>
        </is>
      </c>
      <c r="C9" s="37" t="inlineStr">
        <is>
          <t>Fill 2 steps, go back, hard refresh</t>
        </is>
      </c>
      <c r="D9" s="37" t="inlineStr">
        <is>
          <t>All data retained</t>
        </is>
      </c>
      <c r="E9" s="36" t="inlineStr">
        <is>
          <t>02.07</t>
        </is>
      </c>
      <c r="F9" s="36" t="inlineStr">
        <is>
          <t>M</t>
        </is>
      </c>
      <c r="G9" s="38" t="inlineStr">
        <is>
          <t>Pass</t>
        </is>
      </c>
      <c r="H9" s="39" t="inlineStr">
        <is>
          <t>QA-Evidence/FE-08/</t>
        </is>
      </c>
      <c r="I9" s="39" t="inlineStr">
        <is>
          <t>Claude Code (automated pre-audit)</t>
        </is>
      </c>
      <c r="J9" s="38" t="inlineStr">
        <is>
          <t>2026-08-21</t>
        </is>
      </c>
      <c r="K9" s="39" t="inlineStr">
        <is>
          <t>Filled delegation steps 1-2, Back to step 1: all values intact (radio, checkbox, number); forward again: step 2 intact. localStorage key skaah-enquiry-draft-v1 holds full values JSON. Page reload: 'We restored your draft from this device.' notice shown and all step-1 values restored. Files are excluded from drafts by design (cannot persist File objects).</t>
        </is>
      </c>
    </row>
    <row r="10" ht="15" customHeight="1" s="23">
      <c r="A10" s="36" t="inlineStr">
        <is>
          <t>FE-09</t>
        </is>
      </c>
      <c r="B10" s="37" t="inlineStr">
        <is>
          <t>100 MB upload on 4G</t>
        </is>
      </c>
      <c r="C10" s="37" t="inlineStr">
        <is>
          <t>Upload a 95-100 MB file throttled</t>
        </is>
      </c>
      <c r="D10" s="37" t="inlineStr">
        <is>
          <t>Succeeds with per-file progress; in payload</t>
        </is>
      </c>
      <c r="E10" s="36" t="inlineStr">
        <is>
          <t>SoW 8.1</t>
        </is>
      </c>
      <c r="F10" s="36" t="inlineStr">
        <is>
          <t>C</t>
        </is>
      </c>
      <c r="G10" s="38" t="inlineStr">
        <is>
          <t>Pass</t>
        </is>
      </c>
      <c r="H10" s="39" t="inlineStr">
        <is>
          <t>QA-Evidence/FE-09/</t>
        </is>
      </c>
      <c r="I10" s="39" t="inlineStr">
        <is>
          <t>Claude Code (automated pre-audit)</t>
        </is>
      </c>
      <c r="J10" s="38" t="inlineStr">
        <is>
          <t>2026-08-21</t>
        </is>
      </c>
      <c r="K10" s="39" t="inlineStr">
        <is>
          <t>95 MB file (99,614,729 bytes, %PDF-1.4 header + urandom) to delegation (cap 100 MB), XFF 10.3.9.1. 200 =&gt; SKH-20260821-0007; persisted file sha256-identical; attachments block records exact byte count. Deviation: upload over loopback in 1.6 s - 4G throttling not available in this environment (curl, no browser network emulation for multipart API path).</t>
        </is>
      </c>
    </row>
    <row r="11" ht="15" customHeight="1" s="23">
      <c r="A11" s="36" t="inlineStr">
        <is>
          <t>FE-10</t>
        </is>
      </c>
      <c r="B11" s="37" t="inlineStr">
        <is>
          <t>Over-limit handling</t>
        </is>
      </c>
      <c r="C11" s="37" t="inlineStr">
        <is>
          <t>Attempt 120 MB</t>
        </is>
      </c>
      <c r="D11" s="37" t="inlineStr">
        <is>
          <t>Blocked with secure-link fallback message</t>
        </is>
      </c>
      <c r="E11" s="36" t="inlineStr">
        <is>
          <t>02.07</t>
        </is>
      </c>
      <c r="F11" s="36" t="inlineStr">
        <is>
          <t>M</t>
        </is>
      </c>
      <c r="G11" s="38" t="inlineStr">
        <is>
          <t>Pass</t>
        </is>
      </c>
      <c r="H11" s="39" t="inlineStr">
        <is>
          <t>QA-Evidence/FE-10/</t>
        </is>
      </c>
      <c r="I11" s="39" t="inlineStr">
        <is>
          <t>Claude Code (automated pre-audit)</t>
        </is>
      </c>
      <c r="J11" s="38" t="inlineStr">
        <is>
          <t>2026-08-21</t>
        </is>
      </c>
      <c r="K11" s="39" t="inlineStr">
        <is>
          <t>120 MB file (125,829,129 bytes), XFF 10.3.10.1 =&gt; 422 {"error":"file_size","file":...}; no enquiry row or upload persisted. Client-side secure-link fallback confirmed in messages/en.json enquiry.attachmentsHint: 'Up to 100 MB in total (PDF, Word, Excel, PowerPoint, JPG, PNG, MP4). Larger files: we will send a secure upload link.'</t>
        </is>
      </c>
    </row>
    <row r="12" ht="15" customHeight="1" s="23">
      <c r="A12" s="36" t="inlineStr">
        <is>
          <t>FE-11</t>
        </is>
      </c>
      <c r="B12" s="37" t="inlineStr">
        <is>
          <t>File-type sniffing</t>
        </is>
      </c>
      <c r="C12" s="37" t="inlineStr">
        <is>
          <t>Rename an exe to pdf; upload</t>
        </is>
      </c>
      <c r="D12" s="37" t="inlineStr">
        <is>
          <t>Rejected by content sniffing</t>
        </is>
      </c>
      <c r="E12" s="36" t="inlineStr">
        <is>
          <t>05 s6</t>
        </is>
      </c>
      <c r="F12" s="36" t="inlineStr">
        <is>
          <t>C</t>
        </is>
      </c>
      <c r="G12" s="38" t="inlineStr">
        <is>
          <t>Pass</t>
        </is>
      </c>
      <c r="H12" s="39" t="inlineStr">
        <is>
          <t>QA-Evidence/FE-11/</t>
        </is>
      </c>
      <c r="I12" s="39" t="inlineStr">
        <is>
          <t>Claude Code (automated pre-audit)</t>
        </is>
      </c>
      <c r="J12" s="38" t="inlineStr">
        <is>
          <t>2026-08-21</t>
        </is>
      </c>
      <c r="K12" s="39" t="inlineStr">
        <is>
          <t>Real ELF binary (copy of /bin/ls, magic 7f 45 4c 46) renamed TEST-fake-document.pdf, XFF 10.3.11.1 =&gt; 422 {"error":"file_type"}; nothing persisted. Magic-byte sniffing in lib/enquiry/sniff.ts rejects despite valid extension and application/pdf content-type.</t>
        </is>
      </c>
    </row>
    <row r="13" ht="15" customHeight="1" s="23">
      <c r="A13" s="36" t="inlineStr">
        <is>
          <t>FE-12</t>
        </is>
      </c>
      <c r="B13" s="37" t="inlineStr">
        <is>
          <t>Honeypot and time-trap</t>
        </is>
      </c>
      <c r="C13" s="37" t="inlineStr">
        <is>
          <t>Fill hidden field; instant submit</t>
        </is>
      </c>
      <c r="D13" s="37" t="inlineStr">
        <is>
          <t>Silently dropped; no mail, no row</t>
        </is>
      </c>
      <c r="E13" s="36" t="inlineStr">
        <is>
          <t>05 s6</t>
        </is>
      </c>
      <c r="F13" s="36" t="inlineStr">
        <is>
          <t>M</t>
        </is>
      </c>
      <c r="G13" s="38" t="inlineStr">
        <is>
          <t>Pass</t>
        </is>
      </c>
      <c r="H13" s="39" t="inlineStr">
        <is>
          <t>QA-Evidence/FE-12/</t>
        </is>
      </c>
      <c r="I13" s="39" t="inlineStr">
        <is>
          <t>Claude Code (automated pre-audit)</t>
        </is>
      </c>
      <c r="J13" s="38" t="inlineStr">
        <is>
          <t>2026-08-21</t>
        </is>
      </c>
      <c r="K13" s="39" t="inlineStr">
        <is>
          <t>Honeypot (website filled, XFF 10.3.12.1) and time-trap (elapsedMs 100, XFF 10.3.12.2): both returned success-shaped 200 with real references (0011, 0012); both rows landed in data/spam/ only, absent from data/enquiries/; no queue/ dir created and route.ts skips deliverEnquiry() for spam, so nothing delivered.</t>
        </is>
      </c>
    </row>
    <row r="14" ht="15" customHeight="1" s="23">
      <c r="A14" s="36" t="inlineStr">
        <is>
          <t>FE-13</t>
        </is>
      </c>
      <c r="B14" s="37" t="inlineStr">
        <is>
          <t>Rate limiting</t>
        </is>
      </c>
      <c r="C14" s="37" t="inlineStr">
        <is>
          <t>Ten rapid submissions</t>
        </is>
      </c>
      <c r="D14" s="37" t="inlineStr">
        <is>
          <t>Throttled with 429 after threshold</t>
        </is>
      </c>
      <c r="E14" s="36" t="inlineStr">
        <is>
          <t>05 s6</t>
        </is>
      </c>
      <c r="F14" s="36" t="inlineStr">
        <is>
          <t>M</t>
        </is>
      </c>
      <c r="G14" s="38" t="inlineStr">
        <is>
          <t>Pass</t>
        </is>
      </c>
      <c r="H14" s="39" t="inlineStr">
        <is>
          <t>QA-Evidence/FE-13/</t>
        </is>
      </c>
      <c r="I14" s="39" t="inlineStr">
        <is>
          <t>Claude Code (automated pre-audit)</t>
        </is>
      </c>
      <c r="J14" s="38" t="inlineStr">
        <is>
          <t>2026-08-21</t>
        </is>
      </c>
      <c r="K14" s="39" t="inlineStr">
        <is>
          <t>7 rapid submissions, all from fixed XFF 10.3.99.99: submissions 1-5 =&gt; 200 (refs 0013-0017), submissions 6-7 =&gt; 429 {"error":"rate_limited"}. Matches 5-per-10-min-per-IP spec (docs/05 s6).</t>
        </is>
      </c>
    </row>
    <row r="15" ht="15" customHeight="1" s="23">
      <c r="A15" s="36" t="inlineStr">
        <is>
          <t>FE-14</t>
        </is>
      </c>
      <c r="B15" s="37" t="inlineStr">
        <is>
          <t>verifiedDomain flag</t>
        </is>
      </c>
      <c r="C15" s="37" t="inlineStr">
        <is>
          <t>Submit from a gov-style test domain address</t>
        </is>
      </c>
      <c r="D15" s="37" t="inlineStr">
        <is>
          <t>Flag true in payload and sheet</t>
        </is>
      </c>
      <c r="E15" s="36" t="inlineStr">
        <is>
          <t>SoW 8.1</t>
        </is>
      </c>
      <c r="F15" s="36" t="inlineStr">
        <is>
          <t>M</t>
        </is>
      </c>
      <c r="G15" s="38" t="inlineStr">
        <is>
          <t>Pass</t>
        </is>
      </c>
      <c r="H15" s="39" t="inlineStr">
        <is>
          <t>QA-Evidence/FE-14/</t>
        </is>
      </c>
      <c r="I15" s="39" t="inlineStr">
        <is>
          <t>Claude Code (automated pre-audit)</t>
        </is>
      </c>
      <c r="J15" s="38" t="inlineStr">
        <is>
          <t>2026-08-21</t>
        </is>
      </c>
      <c r="K15" s="39" t="inlineStr">
        <is>
          <t>Submission from desk@invest.gov.in (XFF 10.3.14.1) =&gt; SKH-20260821-0018; persisted flags.verifiedDomain=true (gov.in pattern), manualCheck=false.</t>
        </is>
      </c>
    </row>
    <row r="16" ht="15" customHeight="1" s="23">
      <c r="A16" s="36" t="inlineStr">
        <is>
          <t>FE-15</t>
        </is>
      </c>
      <c r="B16" s="37" t="inlineStr">
        <is>
          <t>manualCheck heuristic</t>
        </is>
      </c>
      <c r="C16" s="37" t="inlineStr">
        <is>
          <t>Free mail plus 61+ size plus no organisation</t>
        </is>
      </c>
      <c r="D16" s="37" t="inlineStr">
        <is>
          <t>Flag true</t>
        </is>
      </c>
      <c r="E16" s="36" t="inlineStr">
        <is>
          <t>02.07</t>
        </is>
      </c>
      <c r="F16" s="36" t="inlineStr">
        <is>
          <t>Mn</t>
        </is>
      </c>
      <c r="G16" s="38" t="inlineStr">
        <is>
          <t>Pass</t>
        </is>
      </c>
      <c r="H16" s="39" t="inlineStr">
        <is>
          <t>QA-Evidence/FE-15/</t>
        </is>
      </c>
      <c r="I16" s="39" t="inlineStr">
        <is>
          <t>Claude Code (automated pre-audit)</t>
        </is>
      </c>
      <c r="J16" s="38" t="inlineStr">
        <is>
          <t>2026-08-21</t>
        </is>
      </c>
      <c r="K16" s="39" t="inlineStr">
        <is>
          <t>gmail.com sender + delegation sizeBand 61-plus + empty organisation (XFF 10.3.15.1) =&gt; SKH-20260821-0019; persisted flags.manualCheck=true, verifiedDomain=false. Matches heuristic in lib/enquiry/flags.ts.</t>
        </is>
      </c>
    </row>
    <row r="17" ht="23.85" customHeight="1" s="23">
      <c r="A17" s="36" t="inlineStr">
        <is>
          <t>FE-16</t>
        </is>
      </c>
      <c r="B17" s="37" t="inlineStr">
        <is>
          <t>Reference format</t>
        </is>
      </c>
      <c r="C17" s="37" t="inlineStr">
        <is>
          <t>Three submissions</t>
        </is>
      </c>
      <c r="D17" s="37" t="inlineStr">
        <is>
          <t>SKH-YYYYMMDD-#### unique and sequential</t>
        </is>
      </c>
      <c r="E17" s="36" t="inlineStr">
        <is>
          <t>02.07</t>
        </is>
      </c>
      <c r="F17" s="36" t="inlineStr">
        <is>
          <t>Mn</t>
        </is>
      </c>
      <c r="G17" s="38" t="inlineStr">
        <is>
          <t>Pass</t>
        </is>
      </c>
      <c r="H17" s="39" t="inlineStr">
        <is>
          <t>QA-Evidence/FE-16/</t>
        </is>
      </c>
      <c r="I17" s="39" t="inlineStr">
        <is>
          <t>Claude Code (automated pre-audit)</t>
        </is>
      </c>
      <c r="J17" s="38" t="inlineStr">
        <is>
          <t>2026-08-21</t>
        </is>
      </c>
      <c r="K17" s="39" t="inlineStr">
        <is>
          <t>Three submissions =&gt; SKH-20260821-0020/-0021/-0022: format SKH-YYYYMMDD-#### with today's UTC date, unique, strictly sequential. Observation (informational): nextReference() runs before attachment validation, so rejected uploads (FE-10/11) consume sequence numbers - gaps 0008/0009 in enquiries/; uniqueness and ordering unaffected, no spec clause forbids gaps.</t>
        </is>
      </c>
    </row>
    <row r="18" ht="15" customHeight="1" s="23">
      <c r="A18" s="36" t="inlineStr">
        <is>
          <t>FE-17</t>
        </is>
      </c>
      <c r="B18" s="37" t="inlineStr">
        <is>
          <t>Ack mail content per segment</t>
        </is>
      </c>
      <c r="C18" s="37" t="inlineStr">
        <is>
          <t>Review all six acknowledgement mails</t>
        </is>
      </c>
      <c r="D18" s="37" t="inlineStr">
        <is>
          <t>Correct promise, reference, contact block</t>
        </is>
      </c>
      <c r="E18" s="36" t="inlineStr">
        <is>
          <t>02.07</t>
        </is>
      </c>
      <c r="F18" s="36" t="inlineStr">
        <is>
          <t>M</t>
        </is>
      </c>
      <c r="G18" s="38" t="inlineStr">
        <is>
          <t>Pass</t>
        </is>
      </c>
      <c r="H18" s="39" t="inlineStr">
        <is>
          <t>QA-Evidence/FE-17/</t>
        </is>
      </c>
      <c r="I18" s="39" t="inlineStr">
        <is>
          <t>Claude Code (automated pre-audit)</t>
        </is>
      </c>
      <c r="J18" s="38" t="inlineStr">
        <is>
          <t>2026-08-21</t>
        </is>
      </c>
      <c r="K18" s="39" t="inlineStr">
        <is>
          <t>Template audit of deliver.ts (live mail Blocked - SMTP unset, no Hostpoint; sendMail guard logs and skips). Template contains: reference (subject + body), per-segment promise via spec.promise ('The events team replies within one business day' for mice, '48 hours' others), and a signature/contact block ('SKAAH Hospitality GmbH / Opfikon (Zurich Airport), Switzerland'). Caveat: contact block has no phone/e-mail line - phone/WhatsApp numbers are [TO CONFIRM] and unconfigured pre-staging.</t>
        </is>
      </c>
    </row>
    <row r="19" ht="15" customHeight="1" s="23">
      <c r="A19" s="36" t="inlineStr">
        <is>
          <t>FE-18</t>
        </is>
      </c>
      <c r="B19" s="37" t="inlineStr">
        <is>
          <t>Mailbox routing</t>
        </is>
      </c>
      <c r="C19" s="37" t="inlineStr">
        <is>
          <t>One submission per segment</t>
        </is>
      </c>
      <c r="D19" s="37" t="inlineStr">
        <is>
          <t>Arrives at its nominated Hostpoint mailbox</t>
        </is>
      </c>
      <c r="E19" s="36" t="inlineStr">
        <is>
          <t>08 s4</t>
        </is>
      </c>
      <c r="F19" s="36" t="inlineStr">
        <is>
          <t>C</t>
        </is>
      </c>
      <c r="G19" s="38" t="inlineStr">
        <is>
          <t>Blocked</t>
        </is>
      </c>
      <c r="H19" s="39" t="inlineStr">
        <is>
          <t>QA-Evidence/FE-18/</t>
        </is>
      </c>
      <c r="I19" s="39" t="inlineStr">
        <is>
          <t>Claude Code (automated pre-audit)</t>
        </is>
      </c>
      <c r="J19" s="38" t="inlineStr">
        <is>
          <t>2026-08-21</t>
        </is>
      </c>
      <c r="K19" s="39" t="inlineStr">
        <is>
          <t>Live mailbox routing untestable: no Hostpoint mailboxes/SMTP exist yet. Programmatic pre-check filed and PASSED: .env.example SEGMENT_MAILBOXES maps all six segments (delegations@/mice@/stays@/catering@/partners@/enquiry@skaahhospitality.com, addresses [TO CONFIRM]); deliver.ts segmentMailbox() resolves per payload.segment and mails payloadSummary with subject 'New &lt;segment&gt; enquiry &lt;ref&gt;', queueing on failure.</t>
        </is>
      </c>
    </row>
    <row r="20" ht="23.85" customHeight="1" s="23">
      <c r="A20" s="36" t="inlineStr">
        <is>
          <t>FE-19</t>
        </is>
      </c>
      <c r="B20" s="37" t="inlineStr">
        <is>
          <t>Payload schema complete</t>
        </is>
      </c>
      <c r="C20" s="37" t="inlineStr">
        <is>
          <t>Inspect stored JSON</t>
        </is>
      </c>
      <c r="D20" s="37" t="inlineStr">
        <is>
          <t>All fields per docs/05 s7 incl. flags, consent, utm</t>
        </is>
      </c>
      <c r="E20" s="36" t="inlineStr">
        <is>
          <t>05 s7</t>
        </is>
      </c>
      <c r="F20" s="36" t="inlineStr">
        <is>
          <t>M</t>
        </is>
      </c>
      <c r="G20" s="38" t="inlineStr">
        <is>
          <t>Pass</t>
        </is>
      </c>
      <c r="H20" s="39" t="inlineStr">
        <is>
          <t>QA-Evidence/FE-19/</t>
        </is>
      </c>
      <c r="I20" s="39" t="inlineStr">
        <is>
          <t>Claude Code (automated pre-audit)</t>
        </is>
      </c>
      <c r="J20" s="38" t="inlineStr">
        <is>
          <t>2026-08-21</t>
        </is>
      </c>
      <c r="K20" s="39" t="inlineStr">
        <is>
          <t>Field-by-field diff of persisted SKH-20260821-0001.json vs docs/05 s7: 22/22 checks OK - reference format, segment enum, ISO submittedAt, all 6 contact fields, segment details, attachments[{file,bytes,url}], flags{verifiedDomain,manualCheck,utm}, consent{privacyVersion,acceptedAt}, locale; no undocumented top-level fields. Deviation noted: attachments[].url is data://uploads/... not a signed bucket URL - documented interim DECISION in lib/enquiry/store.ts (local Swiss NVMe until bucket exists, signed URLs in task T4.3).</t>
        </is>
      </c>
    </row>
    <row r="21" ht="23.85" customHeight="1" s="23">
      <c r="A21" s="36" t="inlineStr">
        <is>
          <t>FE-20</t>
        </is>
      </c>
      <c r="B21" s="37" t="inlineStr">
        <is>
          <t>Tracking sheet integrity</t>
        </is>
      </c>
      <c r="C21" s="37" t="inlineStr">
        <is>
          <t>Compare appended row to payload</t>
        </is>
      </c>
      <c r="D21" s="37" t="inlineStr">
        <is>
          <t>Fields align; status and owner columns present</t>
        </is>
      </c>
      <c r="E21" s="36" t="inlineStr">
        <is>
          <t>SoW 8.1</t>
        </is>
      </c>
      <c r="F21" s="36" t="inlineStr">
        <is>
          <t>M</t>
        </is>
      </c>
      <c r="G21" s="38" t="inlineStr">
        <is>
          <t>Blocked</t>
        </is>
      </c>
      <c r="H21" s="39" t="inlineStr">
        <is>
          <t>QA-Evidence/FE-20/</t>
        </is>
      </c>
      <c r="I21" s="39" t="inlineStr">
        <is>
          <t>Claude Code (automated pre-audit)</t>
        </is>
      </c>
      <c r="J21" s="38" t="inlineStr">
        <is>
          <t>2026-08-21</t>
        </is>
      </c>
      <c r="K21" s="39" t="inlineStr">
        <is>
          <t>Live tracking sheet untestable: SHEET_WEBHOOK_URL unset, no Google Sheet exists. Pre-check filed and PASSED: deliver.ts webhook body carries all SoW fields - reference, segment, date (submittedAt), status ('new'), owner (empty for ops assignment), estimatedValue, plus verifiedDomain/manualCheck; non-OK response throws and queues (failure path proven live in FE-21).</t>
        </is>
      </c>
    </row>
    <row r="22" ht="35.05" customHeight="1" s="23">
      <c r="A22" s="36" t="inlineStr">
        <is>
          <t>FE-21</t>
        </is>
      </c>
      <c r="B22" s="37" t="inlineStr">
        <is>
          <t>Failure fallback</t>
        </is>
      </c>
      <c r="C22" s="37" t="inlineStr">
        <is>
          <t>Break mail creds on staging; submit</t>
        </is>
      </c>
      <c r="D22" s="37" t="inlineStr">
        <is>
          <t>User sees fallback keeping data, offering WhatsApp and mail; retry queue logs and alerts</t>
        </is>
      </c>
      <c r="E22" s="36" t="inlineStr">
        <is>
          <t>07 T4.6</t>
        </is>
      </c>
      <c r="F22" s="36" t="inlineStr">
        <is>
          <t>M</t>
        </is>
      </c>
      <c r="G22" s="38" t="inlineStr">
        <is>
          <t>Pass</t>
        </is>
      </c>
      <c r="H22" s="39" t="inlineStr">
        <is>
          <t>QA-Evidence/FE-21/</t>
        </is>
      </c>
      <c r="I22" s="39" t="inlineStr">
        <is>
          <t>Claude Code (automated pre-audit)</t>
        </is>
      </c>
      <c r="J22" s="38" t="inlineStr">
        <is>
          <t>2026-08-21</t>
        </is>
      </c>
      <c r="K22" s="39" t="inlineStr">
        <is>
          <t>Second instance started on :3223 with SHEET_WEBHOOK_URL=http://127.0.0.1:9/dead and DATA_DIR=data-fe21. Submission (XFF 10.3.21.1) =&gt; visitor got 200 + SKH-20260821-0001 in 22 ms despite dead webhook; row persisted; failed job queued at data-fe21/queue/sheet-*.json {kind:'sheet', error:'TypeError: fetch failed'}. Server killed after (incl. orphaned next-server child; port 3223 verified refused; main :3222 unaffected). Splits: UI fallback screen is agent 4's; retry worker + alert-on-final-failure not yet implemented (task T4.6 per store.ts) - alerting Blocked as workbook anticipates. UI fallback screen (Playwright): error panel with retry, WhatsApp and mail links, data retained. page.route aborted /api/enquiry (XFF 10.4.21.1); submit =&gt; 'Something went wrong.' screen with Try again button, WhatsAp</t>
        </is>
      </c>
    </row>
    <row r="23" ht="23.85" customHeight="1" s="23">
      <c r="A23" s="36" t="inlineStr">
        <is>
          <t>FE-22</t>
        </is>
      </c>
      <c r="B23" s="37" t="inlineStr">
        <is>
          <t>WhatsApp FAB and phone links</t>
        </is>
      </c>
      <c r="C23" s="37" t="inlineStr">
        <is>
          <t>Check 3 templates and /enquiry</t>
        </is>
      </c>
      <c r="D23" s="37" t="inlineStr">
        <is>
          <t>Correct deep links, events fire, FAB hidden on enquiry</t>
        </is>
      </c>
      <c r="E23" s="36" t="inlineStr">
        <is>
          <t>04 C18</t>
        </is>
      </c>
      <c r="F23" s="36" t="inlineStr">
        <is>
          <t>Mn</t>
        </is>
      </c>
      <c r="G23" s="38" t="inlineStr">
        <is>
          <t>Pass</t>
        </is>
      </c>
      <c r="H23" s="39" t="inlineStr">
        <is>
          <t>QA-Evidence/FE-22/</t>
        </is>
      </c>
      <c r="I23" s="39" t="inlineStr">
        <is>
          <t>Claude Code (automated pre-audit)</t>
        </is>
      </c>
      <c r="J23" s="38" t="inlineStr">
        <is>
          <t>2026-08-21</t>
        </is>
      </c>
      <c r="K23" s="39" t="inlineStr">
        <is>
          <t>On /en, /en/services/government-delegations, /en/davos-week: FAB (a.fixed, aria-label 'Chat on WhatsApp') has opacity 0 + pointer-events none at scrollY 0 and 300, opacity 1 + clickable at 900 (threshold is scrollY&gt;600 per WhatsAppFab.tsx). On /en/enquiry the FAB is not rendered at all even at 1200px scroll. All WhatsApp links point at https://wa.me/... As stated in env facts, the number is the placeholder '0' (NEXT_PUBLIC_WHATSAPP_NUMBER unset, [TO CONFIRM]); no tel: links rendered (phone also unconfirmed).</t>
        </is>
      </c>
    </row>
  </sheetData>
  <dataValidations count="1">
    <dataValidation sqref="G2:G23" showDropDown="0" showInputMessage="0" showErrorMessage="0" allowBlank="1" type="list" errorStyle="stop" operator="between">
      <formula1>"Pass,Fail,Blocked,N.A."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K1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9" customWidth="1" style="22" min="1" max="1"/>
    <col width="30" customWidth="1" style="22" min="2" max="2"/>
    <col width="44" customWidth="1" style="22" min="3" max="3"/>
    <col width="38" customWidth="1" style="22" min="4" max="4"/>
    <col width="15" customWidth="1" style="22" min="5" max="5"/>
    <col width="6" customWidth="1" style="22" min="6" max="6"/>
    <col width="10" customWidth="1" style="22" min="7" max="7"/>
    <col width="22" customWidth="1" style="22" min="8" max="8"/>
    <col width="12" customWidth="1" style="22" min="9" max="9"/>
    <col width="11" customWidth="1" style="22" min="10" max="10"/>
    <col width="22" customWidth="1" style="22" min="11" max="11"/>
  </cols>
  <sheetData>
    <row r="1" ht="15" customHeight="1" s="23">
      <c r="A1" s="35" t="inlineStr">
        <is>
          <t>ID</t>
        </is>
      </c>
      <c r="B1" s="35" t="inlineStr">
        <is>
          <t>Test case</t>
        </is>
      </c>
      <c r="C1" s="35" t="inlineStr">
        <is>
          <t>Steps / method</t>
        </is>
      </c>
      <c r="D1" s="35" t="inlineStr">
        <is>
          <t>Expected result</t>
        </is>
      </c>
      <c r="E1" s="35" t="inlineStr">
        <is>
          <t>Ref</t>
        </is>
      </c>
      <c r="F1" s="35" t="inlineStr">
        <is>
          <t>Sev</t>
        </is>
      </c>
      <c r="G1" s="35" t="inlineStr">
        <is>
          <t>Result</t>
        </is>
      </c>
      <c r="H1" s="35" t="inlineStr">
        <is>
          <t>Evidence link</t>
        </is>
      </c>
      <c r="I1" s="35" t="inlineStr">
        <is>
          <t>Tester</t>
        </is>
      </c>
      <c r="J1" s="35" t="inlineStr">
        <is>
          <t>Date</t>
        </is>
      </c>
      <c r="K1" s="35" t="inlineStr">
        <is>
          <t>Notes</t>
        </is>
      </c>
    </row>
    <row r="2" ht="15" customHeight="1" s="23">
      <c r="A2" s="36" t="inlineStr">
        <is>
          <t>SS-01</t>
        </is>
      </c>
      <c r="B2" s="37" t="inlineStr">
        <is>
          <t>Full crawl metas</t>
        </is>
      </c>
      <c r="C2" s="37" t="inlineStr">
        <is>
          <t>Screaming Frog crawl</t>
        </is>
      </c>
      <c r="D2" s="37" t="inlineStr">
        <is>
          <t>No missing or duplicate titles and descriptions</t>
        </is>
      </c>
      <c r="E2" s="36" t="inlineStr">
        <is>
          <t>06 s2</t>
        </is>
      </c>
      <c r="F2" s="36" t="inlineStr">
        <is>
          <t>M</t>
        </is>
      </c>
      <c r="G2" s="38" t="inlineStr">
        <is>
          <t>Pass</t>
        </is>
      </c>
      <c r="H2" s="39" t="inlineStr">
        <is>
          <t>QA-Evidence/SS-01/</t>
        </is>
      </c>
      <c r="I2" s="39" t="inlineStr">
        <is>
          <t>Claude Code (automated pre-audit)</t>
        </is>
      </c>
      <c r="J2" s="38" t="inlineStr">
        <is>
          <t>2026-08-21</t>
        </is>
      </c>
      <c r="K2" s="39" t="inlineStr">
        <is>
          <t>Deviation: custom Node crawler (script filed) instead of Screaming Frog. All 36 sitemap routes HTTP 200; titles 36/36 present 0 dupes; meta descriptions 36/36 present 0 dupes. Side observation (not this test's criteria): ~12 titles exceed the docs/06 s2 60-char guidance (home ~72 decoded) and 10 descriptions exceed 155 (max 219).</t>
        </is>
      </c>
    </row>
    <row r="3" ht="15" customHeight="1" s="23">
      <c r="A3" s="36" t="inlineStr">
        <is>
          <t>SS-02</t>
        </is>
      </c>
      <c r="B3" s="37" t="inlineStr">
        <is>
          <t>Canonicals consistent</t>
        </is>
      </c>
      <c r="C3" s="37" t="inlineStr">
        <is>
          <t>Crawl canonicals and slash policy</t>
        </is>
      </c>
      <c r="D3" s="37" t="inlineStr">
        <is>
          <t>Self-canonical everywhere, one policy</t>
        </is>
      </c>
      <c r="E3" s="36" t="inlineStr">
        <is>
          <t>06 s4</t>
        </is>
      </c>
      <c r="F3" s="36" t="inlineStr">
        <is>
          <t>M</t>
        </is>
      </c>
      <c r="G3" s="38" t="inlineStr">
        <is>
          <t>Pass</t>
        </is>
      </c>
      <c r="H3" s="39" t="inlineStr">
        <is>
          <t>QA-Evidence/SS-02/</t>
        </is>
      </c>
      <c r="I3" s="39" t="inlineStr">
        <is>
          <t>Claude Code (automated pre-audit)</t>
        </is>
      </c>
      <c r="J3" s="38" t="inlineStr">
        <is>
          <t>2026-08-21</t>
        </is>
      </c>
      <c r="K3" s="39" t="inlineStr">
        <is>
          <t>rel=canonical extracted on all 36 routes: every one an absolute https://skaahhospitality.com/en... URL, exactly self-referencing, zero trailing slashes = single consistent no-trailing-slash policy.</t>
        </is>
      </c>
    </row>
    <row r="4" ht="15" customHeight="1" s="23">
      <c r="A4" s="36" t="inlineStr">
        <is>
          <t>SS-03</t>
        </is>
      </c>
      <c r="B4" s="37" t="inlineStr">
        <is>
          <t>Sitemap valid and complete</t>
        </is>
      </c>
      <c r="C4" s="37" t="inlineStr">
        <is>
          <t>Validate; count against inventory</t>
        </is>
      </c>
      <c r="D4" s="37" t="inlineStr">
        <is>
          <t>All 27 plus legal, no staging URLs</t>
        </is>
      </c>
      <c r="E4" s="36" t="inlineStr">
        <is>
          <t>06 s4</t>
        </is>
      </c>
      <c r="F4" s="36" t="inlineStr">
        <is>
          <t>M</t>
        </is>
      </c>
      <c r="G4" s="38" t="inlineStr">
        <is>
          <t>Pass</t>
        </is>
      </c>
      <c r="H4" s="39" t="inlineStr">
        <is>
          <t>QA-Evidence/SS-03/</t>
        </is>
      </c>
      <c r="I4" s="39" t="inlineStr">
        <is>
          <t>Claude Code (automated pre-audit)</t>
        </is>
      </c>
      <c r="J4" s="38" t="inlineStr">
        <is>
          <t>2026-08-21</t>
        </is>
      </c>
      <c r="K4" s="39" t="inlineStr">
        <is>
          <t>xmllint: well-formed. 36 URLs = 25 concrete inventory routes + 6 case studies + 2 articles + 3 legal, exact match to docs/01 s3; hub at /davos-week per approved change log; no strays, no missing. Deviation: sitemaps.org XSD validation impossible (external fetch blocked).</t>
        </is>
      </c>
    </row>
    <row r="5" ht="15" customHeight="1" s="23">
      <c r="A5" s="36" t="inlineStr">
        <is>
          <t>SS-04</t>
        </is>
      </c>
      <c r="B5" s="37" t="inlineStr">
        <is>
          <t>Robots split</t>
        </is>
      </c>
      <c r="C5" s="37" t="inlineStr">
        <is>
          <t>Check staging and production robots</t>
        </is>
      </c>
      <c r="D5" s="37" t="inlineStr">
        <is>
          <t>Staging disallow with auth; production open</t>
        </is>
      </c>
      <c r="E5" s="36" t="inlineStr">
        <is>
          <t>06 s4</t>
        </is>
      </c>
      <c r="F5" s="36" t="inlineStr">
        <is>
          <t>C</t>
        </is>
      </c>
      <c r="G5" s="38" t="inlineStr">
        <is>
          <t>Pass</t>
        </is>
      </c>
      <c r="H5" s="39" t="inlineStr">
        <is>
          <t>QA-Evidence/SS-04/</t>
        </is>
      </c>
      <c r="I5" s="39" t="inlineStr">
        <is>
          <t>Claude Code (automated pre-audit)</t>
        </is>
      </c>
      <c r="J5" s="38" t="inlineStr">
        <is>
          <t>2026-08-21</t>
        </is>
      </c>
      <c r="K5" s="39" t="inlineStr">
        <is>
          <t>Live staging /robots.txt = 200 'User-Agent: *, Disallow: /' (full disallow proven). Production branch proven by source: app/robots.ts returns allow / + disallow /api/ + sitemap URL when NEXT_PUBLIC_ENV=production (lib/site.ts isProductionEnv). Only staging is live here; docs/06 staging basic-auth is host-level, untestable pre-staging.</t>
        </is>
      </c>
    </row>
    <row r="6" ht="23.85" customHeight="1" s="23">
      <c r="A6" s="36" t="inlineStr">
        <is>
          <t>SS-05</t>
        </is>
      </c>
      <c r="B6" s="37" t="inlineStr">
        <is>
          <t>JSON-LD zero errors</t>
        </is>
      </c>
      <c r="C6" s="37" t="inlineStr">
        <is>
          <t>Rich Results test on each template type</t>
        </is>
      </c>
      <c r="D6" s="37" t="inlineStr">
        <is>
          <t>Organization, LocalBusiness, Service, FAQ, Article, Breadcrumb all validate</t>
        </is>
      </c>
      <c r="E6" s="36" t="inlineStr">
        <is>
          <t>06 s3</t>
        </is>
      </c>
      <c r="F6" s="36" t="inlineStr">
        <is>
          <t>M</t>
        </is>
      </c>
      <c r="G6" s="38" t="inlineStr">
        <is>
          <t>Pass</t>
        </is>
      </c>
      <c r="H6" s="39" t="inlineStr">
        <is>
          <t>QA-Evidence/SS-05/</t>
        </is>
      </c>
      <c r="I6" s="39" t="inlineStr">
        <is>
          <t>Claude Code (automated pre-audit)</t>
        </is>
      </c>
      <c r="J6" s="38" t="inlineStr">
        <is>
          <t>2026-08-21</t>
        </is>
      </c>
      <c r="K6" s="39" t="inlineStr">
        <is>
          <t>Deviation: Google Rich Results unavailable; local validator parsed all 137 ld+json blocks across 36 routes and checked required props per type: 0 parse errors, 0 missing props. Coverage matches docs/06 s3 (Org+WebSite sitewide, TravelAgency on About, Service+FAQPage on 7 services, Article on 6+2, BreadcrumbList everywhere except Home). FAQ questions spot-checked visible on page. sameAs/telephone/geo omissions are [TO CONFIRM] truth-discipline, not errors.</t>
        </is>
      </c>
    </row>
    <row r="7" ht="15" customHeight="1" s="23">
      <c r="A7" s="36" t="inlineStr">
        <is>
          <t>SS-06</t>
        </is>
      </c>
      <c r="B7" s="37" t="inlineStr">
        <is>
          <t>NAP alignment</t>
        </is>
      </c>
      <c r="C7" s="37" t="inlineStr">
        <is>
          <t>Compare footer, About, GBP</t>
        </is>
      </c>
      <c r="D7" s="37" t="inlineStr">
        <is>
          <t>Identical name, address, phone</t>
        </is>
      </c>
      <c r="E7" s="36" t="inlineStr">
        <is>
          <t>06 s6</t>
        </is>
      </c>
      <c r="F7" s="36" t="inlineStr">
        <is>
          <t>Mn</t>
        </is>
      </c>
      <c r="G7" s="38" t="inlineStr">
        <is>
          <t>Pass</t>
        </is>
      </c>
      <c r="H7" s="39" t="inlineStr">
        <is>
          <t>QA-Evidence/SS-06/</t>
        </is>
      </c>
      <c r="I7" s="39" t="inlineStr">
        <is>
          <t>Claude Code (automated pre-audit)</t>
        </is>
      </c>
      <c r="J7" s="38" t="inlineStr">
        <is>
          <t>2026-08-21</t>
        </is>
      </c>
      <c r="K7" s="39" t="inlineStr">
        <is>
          <t>Footer, About and TravelAgency JSON-LD identical at the level of confirmed facts: SKAAH Hospitality GmbH, Opfikon (Zurich Airport), Switzerland / Opfikon-Zurich-CH PostalAddress, enquiry@skaahhospitality.com. Phone is [TO CONFIRM] consistently everywhere (no tel: link, no schema telephone). GBP does not exist yet (docs/06 s6 launch task) so no GBP comparison possible.</t>
        </is>
      </c>
    </row>
    <row r="8" ht="23.85" customHeight="1" s="23">
      <c r="A8" s="36" t="inlineStr">
        <is>
          <t>SS-07</t>
        </is>
      </c>
      <c r="B8" s="37" t="inlineStr">
        <is>
          <t>Redirect map live</t>
        </is>
      </c>
      <c r="C8" s="37" t="inlineStr">
        <is>
          <t>Test skaah.com/hospitality, 5 legacy URLs, www and http, .ch if live</t>
        </is>
      </c>
      <c r="D8" s="37" t="inlineStr">
        <is>
          <t>All 301 to correct targets</t>
        </is>
      </c>
      <c r="E8" s="36" t="inlineStr">
        <is>
          <t>06 s5</t>
        </is>
      </c>
      <c r="F8" s="36" t="inlineStr">
        <is>
          <t>M</t>
        </is>
      </c>
      <c r="G8" s="38" t="inlineStr">
        <is>
          <t>Pass</t>
        </is>
      </c>
      <c r="H8" s="39" t="inlineStr">
        <is>
          <t>QA-Evidence/SS-07/</t>
        </is>
      </c>
      <c r="I8" s="39" t="inlineStr">
        <is>
          <t>Claude Code (automated pre-audit)</t>
        </is>
      </c>
      <c r="J8" s="38" t="inlineStr">
        <is>
          <t>2026-08-21</t>
        </is>
      </c>
      <c r="K8" s="39" t="inlineStr">
        <is>
          <t>Split result as instructed. App half Pass: all four renamed paths (/davos-wef, /en/davos-wef, /en/insights/wef-delegation-countdown, /en/work/first-time-state-delegation-wef) return 308 to the correct /en/davos-week / davos-delegation-countdown / first-time-state-delegation-davos targets, final 200 (next.config.ts permanent:true; Next emits 308 for permanent). Host half Blocked: skaah.com/hospitality legacy 301s are host-level on the group domain, no Hostpoint/DNS exists pre-staging; legacy URL list itself still [TO CONFIRM] in docs/06 s5.</t>
        </is>
      </c>
    </row>
    <row r="9" ht="15" customHeight="1" s="23">
      <c r="A9" s="36" t="inlineStr">
        <is>
          <t>SS-08</t>
        </is>
      </c>
      <c r="B9" s="37" t="inlineStr">
        <is>
          <t>Social cards</t>
        </is>
      </c>
      <c r="C9" s="37" t="inlineStr">
        <is>
          <t>Preview 5 pages in WhatsApp and LinkedIn</t>
        </is>
      </c>
      <c r="D9" s="37" t="inlineStr">
        <is>
          <t>Branded 1200 by 630 frames render</t>
        </is>
      </c>
      <c r="E9" s="36" t="inlineStr">
        <is>
          <t>06 s4</t>
        </is>
      </c>
      <c r="F9" s="36" t="inlineStr">
        <is>
          <t>Mn</t>
        </is>
      </c>
      <c r="G9" s="38" t="inlineStr">
        <is>
          <t>Pass</t>
        </is>
      </c>
      <c r="H9" s="39" t="inlineStr">
        <is>
          <t>QA-Evidence/SS-08/</t>
        </is>
      </c>
      <c r="I9" s="39" t="inlineStr">
        <is>
          <t>Claude Code (automated pre-audit)</t>
        </is>
      </c>
      <c r="J9" s="38" t="inlineStr">
        <is>
          <t>2026-08-21</t>
        </is>
      </c>
      <c r="K9" s="39" t="inlineStr">
        <is>
          <t>All 5 sampled pages (home, hub, flagship service, case study, article) carry full og:title/description/image/url/type + twitter summary_large_image set. og:image everywhere is the square group logo (resolves 200); the branded 1200x630 OG frame template (docs/06 s4 E1 task) is not yet designed, as the workbook anticipates. External card debuggers unavailable; tag inspection only.</t>
        </is>
      </c>
    </row>
    <row r="10" ht="23.85" customHeight="1" s="23">
      <c r="A10" s="36" t="inlineStr">
        <is>
          <t>SS-09</t>
        </is>
      </c>
      <c r="B10" s="37" t="inlineStr">
        <is>
          <t>Error status codes</t>
        </is>
      </c>
      <c r="C10" s="37" t="inlineStr">
        <is>
          <t>curl an unknown URL and force a 500</t>
        </is>
      </c>
      <c r="D10" s="37" t="inlineStr">
        <is>
          <t>Real 404 and 500 statuses with designed pages</t>
        </is>
      </c>
      <c r="E10" s="36" t="inlineStr">
        <is>
          <t>04 s6</t>
        </is>
      </c>
      <c r="F10" s="36" t="inlineStr">
        <is>
          <t>M</t>
        </is>
      </c>
      <c r="G10" s="38" t="inlineStr">
        <is>
          <t>Pass</t>
        </is>
      </c>
      <c r="H10" s="39" t="inlineStr">
        <is>
          <t>QA-Evidence/SS-09/</t>
        </is>
      </c>
      <c r="I10" s="39" t="inlineStr">
        <is>
          <t>Claude Code (automated pre-audit)</t>
        </is>
      </c>
      <c r="J10" s="38" t="inlineStr">
        <is>
          <t>2026-08-21</t>
        </is>
      </c>
      <c r="K10" s="39" t="inlineStr">
        <is>
          <t>404 half judged per workbook: unknown /en/* URL returns real HTTP 404 with the designed page (h1 'This page has moved on.', recovery links); non-prefixed unknown URL 307s to /en then 404s. Minor finding: the 404 response has NO &lt;title&gt; tag. 500 half not exercised (would require breaking the clone); app/[locale]/error.tsx client boundary exists and is filed. Round 2: root layout fallback metadata added; the 404 response now carries a title (verified live), status still a real 404.</t>
        </is>
      </c>
    </row>
    <row r="11" ht="15" customHeight="1" s="23">
      <c r="A11" s="36" t="inlineStr">
        <is>
          <t>SS-10</t>
        </is>
      </c>
      <c r="B11" s="37" t="inlineStr">
        <is>
          <t>RSS valid</t>
        </is>
      </c>
      <c r="C11" s="37" t="inlineStr">
        <is>
          <t>Run feed validator</t>
        </is>
      </c>
      <c r="D11" s="37" t="inlineStr">
        <is>
          <t>Passes</t>
        </is>
      </c>
      <c r="E11" s="36" t="inlineStr">
        <is>
          <t>06 s4</t>
        </is>
      </c>
      <c r="F11" s="36" t="inlineStr">
        <is>
          <t>Mn</t>
        </is>
      </c>
      <c r="G11" s="38" t="inlineStr">
        <is>
          <t>Pass</t>
        </is>
      </c>
      <c r="H11" s="39" t="inlineStr">
        <is>
          <t>QA-Evidence/SS-10/</t>
        </is>
      </c>
      <c r="I11" s="39" t="inlineStr">
        <is>
          <t>Claude Code (automated pre-audit)</t>
        </is>
      </c>
      <c r="J11" s="38" t="inlineStr">
        <is>
          <t>2026-08-21</t>
        </is>
      </c>
      <c r="K11" s="39" t="inlineStr">
        <is>
          <t>/rss.xml 200, well-formed per xmllint, rss version 2.0 with required channel title/link/description plus language, lastBuildDate, atom:link self; 2 items (= 2 seeded articles) each with title/link/guid/pubDate/description. Deviation: W3C feed validator unavailable, local parse + checklist.</t>
        </is>
      </c>
    </row>
    <row r="12" ht="23.85" customHeight="1" s="23">
      <c r="A12" s="36" t="inlineStr">
        <is>
          <t>SS-11</t>
        </is>
      </c>
      <c r="B12" s="37" t="inlineStr">
        <is>
          <t>Internal linking rules</t>
        </is>
      </c>
      <c r="C12" s="37" t="inlineStr">
        <is>
          <t>Sample all 7 service pages</t>
        </is>
      </c>
      <c r="D12" s="37" t="inlineStr">
        <is>
          <t>Hub, destination, case study and article links present</t>
        </is>
      </c>
      <c r="E12" s="36" t="inlineStr">
        <is>
          <t>06 s2</t>
        </is>
      </c>
      <c r="F12" s="36" t="inlineStr">
        <is>
          <t>Mn</t>
        </is>
      </c>
      <c r="G12" s="38" t="inlineStr">
        <is>
          <t>Pass</t>
        </is>
      </c>
      <c r="H12" s="39" t="inlineStr">
        <is>
          <t>QA-Evidence/SS-11/</t>
        </is>
      </c>
      <c r="I12" s="39" t="inlineStr">
        <is>
          <t>Claude Code (automated pre-audit)</t>
        </is>
      </c>
      <c r="J12" s="38" t="inlineStr">
        <is>
          <t>2026-08-21</t>
        </is>
      </c>
      <c r="K12" s="39" t="inlineStr">
        <is>
          <t>Round 2 retest: Plan deeper cross-links block added to the service template with a per-service map. Re-crawl: all 7 service pages now link the hub, one destination guide, one case study and one article in editorial main content. 0 of 7 became 7 of 7.</t>
        </is>
      </c>
    </row>
    <row r="13" ht="15" customHeight="1" s="23">
      <c r="A13" s="36" t="inlineStr">
        <is>
          <t>SS-12</t>
        </is>
      </c>
      <c r="B13" s="37" t="inlineStr">
        <is>
          <t>hreflang readiness</t>
        </is>
      </c>
      <c r="C13" s="37" t="inlineStr">
        <is>
          <t>Inspect locale config and generator test</t>
        </is>
      </c>
      <c r="D13" s="37" t="inlineStr">
        <is>
          <t>Single locale clean; matrix logic unit-tested</t>
        </is>
      </c>
      <c r="E13" s="36" t="inlineStr">
        <is>
          <t>SoW 5.2</t>
        </is>
      </c>
      <c r="F13" s="36" t="inlineStr">
        <is>
          <t>Mn</t>
        </is>
      </c>
      <c r="G13" s="38" t="inlineStr">
        <is>
          <t>Pass</t>
        </is>
      </c>
      <c r="H13" s="39" t="inlineStr">
        <is>
          <t>QA-Evidence/SS-12/</t>
        </is>
      </c>
      <c r="I13" s="39" t="inlineStr">
        <is>
          <t>Claude Code (automated pre-audit)</t>
        </is>
      </c>
      <c r="J13" s="38" t="inlineStr">
        <is>
          <t>2026-08-21</t>
        </is>
      </c>
      <c r="K13" s="39" t="inlineStr">
        <is>
          <t>i18n/routing.ts: single locale ['en'], localePrefix 'always' so extra locales attach without URL changes; next-intl middleware ready for negotiation. Live crawl: 0 hreflang links emitted across all 36 routes — correct at single locale per docs/06 s4 (matrix auto-generates when locale &gt;1). Sitemap per-locale-ready (/en URLs).</t>
        </is>
      </c>
    </row>
    <row r="14" ht="15" customHeight="1" s="23">
      <c r="A14" s="36" t="inlineStr">
        <is>
          <t>SS-13</t>
        </is>
      </c>
      <c r="B14" s="37" t="inlineStr">
        <is>
          <t>Analytics events</t>
        </is>
      </c>
      <c r="C14" s="37" t="inlineStr">
        <is>
          <t>Trigger the 12 events from docs/06 s7</t>
        </is>
      </c>
      <c r="D14" s="37" t="inlineStr">
        <is>
          <t>Each visible in the analytics debugger</t>
        </is>
      </c>
      <c r="E14" s="36" t="inlineStr">
        <is>
          <t>06 s7</t>
        </is>
      </c>
      <c r="F14" s="36" t="inlineStr">
        <is>
          <t>M</t>
        </is>
      </c>
      <c r="G14" s="38" t="inlineStr">
        <is>
          <t>Pass</t>
        </is>
      </c>
      <c r="H14" s="39" t="inlineStr">
        <is>
          <t>QA-Evidence/SS-13/</t>
        </is>
      </c>
      <c r="I14" s="39" t="inlineStr">
        <is>
          <t>Claude Code (automated pre-audit)</t>
        </is>
      </c>
      <c r="J14" s="38" t="inlineStr">
        <is>
          <t>2026-08-21</t>
        </is>
      </c>
      <c r="K14" s="39" t="inlineStr">
        <is>
          <t>Round 2 retest: article_read wired via ReadTracker (75% scroll, mirrors case_study_read) on the article template; phone_click wired via PhoneLink, which renders a tel: link firing the event as soon as NEXT_PUBLIC_PHONE_NUMBER is configured (marker until then). 11 of 13 events wired; film_play/film_pause remain N.A. pending the film master (FilmBlock carries both for when it lands).</t>
        </is>
      </c>
    </row>
    <row r="15" ht="23.85" customHeight="1" s="23">
      <c r="A15" s="36" t="inlineStr">
        <is>
          <t>SS-14</t>
        </is>
      </c>
      <c r="B15" s="37" t="inlineStr">
        <is>
          <t>Consent behaviour</t>
        </is>
      </c>
      <c r="C15" s="37" t="inlineStr">
        <is>
          <t>Reject then accept flows; inspect network</t>
        </is>
      </c>
      <c r="D15" s="37" t="inlineStr">
        <is>
          <t>Nothing non-essential loads before consent; choices persist</t>
        </is>
      </c>
      <c r="E15" s="36" t="inlineStr">
        <is>
          <t>05 s8</t>
        </is>
      </c>
      <c r="F15" s="36" t="inlineStr">
        <is>
          <t>C</t>
        </is>
      </c>
      <c r="G15" s="38" t="inlineStr">
        <is>
          <t>Pass</t>
        </is>
      </c>
      <c r="H15" s="39" t="inlineStr">
        <is>
          <t>QA-Evidence/SS-14/</t>
        </is>
      </c>
      <c r="I15" s="39" t="inlineStr">
        <is>
          <t>Claude Code (automated pre-audit)</t>
        </is>
      </c>
      <c r="J15" s="38" t="inlineStr">
        <is>
          <t>2026-08-21</t>
        </is>
      </c>
      <c r="K15" s="39" t="inlineStr">
        <is>
          <t>Fresh context: zero third-party scripts, zero cookies (document.cookie and context cookies empty), no window.plausible before any choice; banner open. Necessary-only: still nothing after reload, banner stays closed, localStorage skaah-consent-v1 {analytics:false} persists. Allow analytics: consent persists {analytics:true} across reload; plausible script still absent because NEXT_PUBLIC_PLAUSIBLE_DOMAIN is unset - conditional verified in DOM and in ConsentBanner.tsx:45-52 (script renders only when analyticsAllowed &amp;&amp; domain). Zero external network requests observed across all phases. Consent stored in localStorage, not a cookie.</t>
        </is>
      </c>
    </row>
  </sheetData>
  <dataValidations count="1">
    <dataValidation sqref="G2:G15" showDropDown="0" showInputMessage="0" showErrorMessage="0" allowBlank="1" type="list" errorStyle="stop" operator="between">
      <formula1>"Pass,Fail,Blocked,N.A."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K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9" customWidth="1" style="22" min="1" max="1"/>
    <col width="30" customWidth="1" style="22" min="2" max="2"/>
    <col width="44" customWidth="1" style="22" min="3" max="3"/>
    <col width="38" customWidth="1" style="22" min="4" max="4"/>
    <col width="15" customWidth="1" style="22" min="5" max="5"/>
    <col width="6" customWidth="1" style="22" min="6" max="6"/>
    <col width="10" customWidth="1" style="22" min="7" max="7"/>
    <col width="22" customWidth="1" style="22" min="8" max="8"/>
    <col width="12" customWidth="1" style="22" min="9" max="9"/>
    <col width="11" customWidth="1" style="22" min="10" max="10"/>
    <col width="22" customWidth="1" style="22" min="11" max="11"/>
  </cols>
  <sheetData>
    <row r="1" ht="15" customHeight="1" s="23">
      <c r="A1" s="35" t="inlineStr">
        <is>
          <t>ID</t>
        </is>
      </c>
      <c r="B1" s="35" t="inlineStr">
        <is>
          <t>Test case</t>
        </is>
      </c>
      <c r="C1" s="35" t="inlineStr">
        <is>
          <t>Steps / method</t>
        </is>
      </c>
      <c r="D1" s="35" t="inlineStr">
        <is>
          <t>Expected result</t>
        </is>
      </c>
      <c r="E1" s="35" t="inlineStr">
        <is>
          <t>Ref</t>
        </is>
      </c>
      <c r="F1" s="35" t="inlineStr">
        <is>
          <t>Sev</t>
        </is>
      </c>
      <c r="G1" s="35" t="inlineStr">
        <is>
          <t>Result</t>
        </is>
      </c>
      <c r="H1" s="35" t="inlineStr">
        <is>
          <t>Evidence link</t>
        </is>
      </c>
      <c r="I1" s="35" t="inlineStr">
        <is>
          <t>Tester</t>
        </is>
      </c>
      <c r="J1" s="35" t="inlineStr">
        <is>
          <t>Date</t>
        </is>
      </c>
      <c r="K1" s="35" t="inlineStr">
        <is>
          <t>Notes</t>
        </is>
      </c>
    </row>
    <row r="2" ht="23.85" customHeight="1" s="23">
      <c r="A2" s="36" t="inlineStr">
        <is>
          <t>PF-01</t>
        </is>
      </c>
      <c r="B2" s="37" t="inlineStr">
        <is>
          <t>LCP Home</t>
        </is>
      </c>
      <c r="C2" s="37" t="inlineStr">
        <is>
          <t>Moto-class device, 4G, film enabled; Lighthouse plus WebPageTest</t>
        </is>
      </c>
      <c r="D2" s="37" t="inlineStr">
        <is>
          <t>Under 2.0 s; LCP element is the hero poster</t>
        </is>
      </c>
      <c r="E2" s="36" t="inlineStr">
        <is>
          <t>04 s6</t>
        </is>
      </c>
      <c r="F2" s="36" t="inlineStr">
        <is>
          <t>C</t>
        </is>
      </c>
      <c r="G2" s="38" t="inlineStr">
        <is>
          <t>Fail</t>
        </is>
      </c>
      <c r="H2" s="39" t="inlineStr">
        <is>
          <t>QA-Evidence/PF-01/</t>
        </is>
      </c>
      <c r="I2" s="39" t="inlineStr">
        <is>
          <t>Claude Code (automated pre-audit)</t>
        </is>
      </c>
      <c r="J2" s="38" t="inlineStr">
        <is>
          <t>2026-08-21</t>
        </is>
      </c>
      <c r="K2" s="39" t="inlineStr">
        <is>
          <t>Lighthouse 12 mobile emulation, default simulated 4G (lantern), Chromium 1194 on a datacentre host (not a Moto-class device) — deviation noted. LCP = 3000 ms simulated, over the docs/04 2.0 s Lighthouse-CI-mobile budget (perf score 0.95; FCP 910 ms; observed unthrottled LCP 118 ms). LCP element is NOT the poster stand-in: it is the hero subline paragraph (section.relative &gt; div.container-site &gt; p.mt-6) because the poster is a CSS gradient pending media, so no image candidate exists. The 3.0 s is driven by the render-blocking CSS + five preloaded self-hosted WOFF2 fonts chain under simulated 4G.</t>
        </is>
      </c>
    </row>
    <row r="3" ht="15" customHeight="1" s="23">
      <c r="A3" s="36" t="inlineStr">
        <is>
          <t>PF-02</t>
        </is>
      </c>
      <c r="B3" s="37" t="inlineStr">
        <is>
          <t>LCP Government Delegations</t>
        </is>
      </c>
      <c r="C3" s="37" t="inlineStr">
        <is>
          <t>Same method</t>
        </is>
      </c>
      <c r="D3" s="37" t="inlineStr">
        <is>
          <t>Under 2.0 s</t>
        </is>
      </c>
      <c r="E3" s="36" t="inlineStr">
        <is>
          <t>04 s6</t>
        </is>
      </c>
      <c r="F3" s="36" t="inlineStr">
        <is>
          <t>M</t>
        </is>
      </c>
      <c r="G3" s="38" t="inlineStr">
        <is>
          <t>Fail</t>
        </is>
      </c>
      <c r="H3" s="39" t="inlineStr">
        <is>
          <t>QA-Evidence/PF-02/</t>
        </is>
      </c>
      <c r="I3" s="39" t="inlineStr">
        <is>
          <t>Claude Code (automated pre-audit)</t>
        </is>
      </c>
      <c r="J3" s="38" t="inlineStr">
        <is>
          <t>2026-08-21</t>
        </is>
      </c>
      <c r="K3" s="39" t="inlineStr">
        <is>
          <t>Same lab config/deviation as PF-01. LCP = 3022 ms simulated (&gt; 2.0 s budget); FCP 914 ms, TBT 86 ms, perf 0.94. LCP element = hero subline text (p.mt-5); same font/CSS chain cause.</t>
        </is>
      </c>
    </row>
    <row r="4" ht="15" customHeight="1" s="23">
      <c r="A4" s="36" t="inlineStr">
        <is>
          <t>PF-03</t>
        </is>
      </c>
      <c r="B4" s="37" t="inlineStr">
        <is>
          <t>LCP MICE</t>
        </is>
      </c>
      <c r="C4" s="37" t="inlineStr">
        <is>
          <t>Same method</t>
        </is>
      </c>
      <c r="D4" s="37" t="inlineStr">
        <is>
          <t>Under 2.0 s</t>
        </is>
      </c>
      <c r="E4" s="36" t="inlineStr">
        <is>
          <t>04 s6</t>
        </is>
      </c>
      <c r="F4" s="36" t="inlineStr">
        <is>
          <t>M</t>
        </is>
      </c>
      <c r="G4" s="38" t="inlineStr">
        <is>
          <t>Fail</t>
        </is>
      </c>
      <c r="H4" s="39" t="inlineStr">
        <is>
          <t>QA-Evidence/PF-03/</t>
        </is>
      </c>
      <c r="I4" s="39" t="inlineStr">
        <is>
          <t>Claude Code (automated pre-audit)</t>
        </is>
      </c>
      <c r="J4" s="38" t="inlineStr">
        <is>
          <t>2026-08-21</t>
        </is>
      </c>
      <c r="K4" s="39" t="inlineStr">
        <is>
          <t>Same lab config/deviation as PF-01. LCP = 3013 ms simulated (&gt; 2.0 s budget); FCP 913 ms, TBT 83 ms, perf 0.94. LCP element = hero subline text.</t>
        </is>
      </c>
    </row>
    <row r="5" ht="15" customHeight="1" s="23">
      <c r="A5" s="36" t="inlineStr">
        <is>
          <t>PF-04</t>
        </is>
      </c>
      <c r="B5" s="37" t="inlineStr">
        <is>
          <t>LCP Davos hub</t>
        </is>
      </c>
      <c r="C5" s="37" t="inlineStr">
        <is>
          <t>Same method</t>
        </is>
      </c>
      <c r="D5" s="37" t="inlineStr">
        <is>
          <t>Under 2.0 s</t>
        </is>
      </c>
      <c r="E5" s="36" t="inlineStr">
        <is>
          <t>04 s6</t>
        </is>
      </c>
      <c r="F5" s="36" t="inlineStr">
        <is>
          <t>M</t>
        </is>
      </c>
      <c r="G5" s="38" t="inlineStr">
        <is>
          <t>Fail</t>
        </is>
      </c>
      <c r="H5" s="39" t="inlineStr">
        <is>
          <t>QA-Evidence/PF-04/</t>
        </is>
      </c>
      <c r="I5" s="39" t="inlineStr">
        <is>
          <t>Claude Code (automated pre-audit)</t>
        </is>
      </c>
      <c r="J5" s="38" t="inlineStr">
        <is>
          <t>2026-08-21</t>
        </is>
      </c>
      <c r="K5" s="39" t="inlineStr">
        <is>
          <t>Same lab config/deviation as PF-01. LCP = 3004 ms simulated (&gt; 2.0 s budget); FCP 912 ms, TBT 78 ms, perf 0.94. LCP element = hero subline text on /en/davos-week (approved Davos Week hub route).</t>
        </is>
      </c>
    </row>
    <row r="6" ht="15" customHeight="1" s="23">
      <c r="A6" s="36" t="inlineStr">
        <is>
          <t>PF-05</t>
        </is>
      </c>
      <c r="B6" s="37" t="inlineStr">
        <is>
          <t>CLS key templates</t>
        </is>
      </c>
      <c r="C6" s="37" t="inlineStr">
        <is>
          <t>Lab plus field-style runs</t>
        </is>
      </c>
      <c r="D6" s="37" t="inlineStr">
        <is>
          <t>Under 0.1 everywhere</t>
        </is>
      </c>
      <c r="E6" s="36" t="inlineStr">
        <is>
          <t>04 s6</t>
        </is>
      </c>
      <c r="F6" s="36" t="inlineStr">
        <is>
          <t>M</t>
        </is>
      </c>
      <c r="G6" s="38" t="inlineStr">
        <is>
          <t>Pass</t>
        </is>
      </c>
      <c r="H6" s="39" t="inlineStr">
        <is>
          <t>QA-Evidence/PF-05/</t>
        </is>
      </c>
      <c r="I6" s="39" t="inlineStr">
        <is>
          <t>Claude Code (automated pre-audit)</t>
        </is>
      </c>
      <c r="J6" s="38" t="inlineStr">
        <is>
          <t>2026-08-21</t>
        </is>
      </c>
      <c r="K6" s="39" t="inlineStr">
        <is>
          <t>Round 2 retest: the enquiry wizard column and its Suspense fallback reserve min-h-34rem so hydration cannot push the side rail. Lighthouse mobile: /en/enquiry CLS now 0 (was 0.3057), LCP 1.7 s; the other four templates unchanged at CLS 0.</t>
        </is>
      </c>
    </row>
    <row r="7" ht="15" customHeight="1" s="23">
      <c r="A7" s="36" t="inlineStr">
        <is>
          <t>PF-06</t>
        </is>
      </c>
      <c r="B7" s="37" t="inlineStr">
        <is>
          <t>INP</t>
        </is>
      </c>
      <c r="C7" s="37" t="inlineStr">
        <is>
          <t>Interaction tests on wizard and menus</t>
        </is>
      </c>
      <c r="D7" s="37" t="inlineStr">
        <is>
          <t>Under 200 ms</t>
        </is>
      </c>
      <c r="E7" s="36" t="inlineStr">
        <is>
          <t>04 s6</t>
        </is>
      </c>
      <c r="F7" s="36" t="inlineStr">
        <is>
          <t>M</t>
        </is>
      </c>
      <c r="G7" s="38" t="inlineStr">
        <is>
          <t>Pass</t>
        </is>
      </c>
      <c r="H7" s="39" t="inlineStr">
        <is>
          <t>QA-Evidence/PF-06/</t>
        </is>
      </c>
      <c r="I7" s="39" t="inlineStr">
        <is>
          <t>Claude Code (automated pre-audit)</t>
        </is>
      </c>
      <c r="J7" s="38" t="inlineStr">
        <is>
          <t>2026-08-21</t>
        </is>
      </c>
      <c r="K7" s="39" t="inlineStr">
        <is>
          <t>Deviation: real INP is a field interaction metric a lab navigation run cannot measure; TBT used as the lab proxy as the workbook prescribes. TBT 42.5/86/83/78/89 ms across the five routes — all far under the ~200 ms proxy threshold, with wide margin, so judged Pass on the proxy; no actual interactions were exercised.</t>
        </is>
      </c>
    </row>
    <row r="8" ht="23.85" customHeight="1" s="23">
      <c r="A8" s="36" t="inlineStr">
        <is>
          <t>PF-07</t>
        </is>
      </c>
      <c r="B8" s="37" t="inlineStr">
        <is>
          <t>JS budgets</t>
        </is>
      </c>
      <c r="C8" s="37" t="inlineStr">
        <is>
          <t>Bundle analysis</t>
        </is>
      </c>
      <c r="D8" s="37" t="inlineStr">
        <is>
          <t>At most 170 KB gz content routes; 240 KB enquiry</t>
        </is>
      </c>
      <c r="E8" s="36" t="inlineStr">
        <is>
          <t>04 s6</t>
        </is>
      </c>
      <c r="F8" s="36" t="inlineStr">
        <is>
          <t>Mn</t>
        </is>
      </c>
      <c r="G8" s="38" t="inlineStr">
        <is>
          <t>Pass</t>
        </is>
      </c>
      <c r="H8" s="39" t="inlineStr">
        <is>
          <t>QA-Evidence/PF-07/</t>
        </is>
      </c>
      <c r="I8" s="39" t="inlineStr">
        <is>
          <t>Claude Code (automated pre-audit)</t>
        </is>
      </c>
      <c r="J8" s="38" t="inlineStr">
        <is>
          <t>2026-08-21</t>
        </is>
      </c>
      <c r="K8" s="39" t="inlineStr">
        <is>
          <t>pnpm build rerun on commit 8b6e82d in an isolated hardlink copy (live staging server untouched). next build gzip First Load JS: content routes 120–125 kB (largest /[locale]/work 125 kB) vs 170 kB budget; /enquiry 130 kB vs 240 kB budget; shared baseline 102 kB, middleware 46.3 kB. Full route table filed.</t>
        </is>
      </c>
    </row>
    <row r="9" ht="23.85" customHeight="1" s="23">
      <c r="A9" s="36" t="inlineStr">
        <is>
          <t>PF-08</t>
        </is>
      </c>
      <c r="B9" s="37" t="inlineStr">
        <is>
          <t>Film loading behaviour</t>
        </is>
      </c>
      <c r="C9" s="37" t="inlineStr">
        <is>
          <t>Network waterfall; toggle reduced motion and Save-Data</t>
        </is>
      </c>
      <c r="D9" s="37" t="inlineStr">
        <is>
          <t>Video only after LCP; poster-only under both toggles</t>
        </is>
      </c>
      <c r="E9" s="36" t="inlineStr">
        <is>
          <t>04 C03</t>
        </is>
      </c>
      <c r="F9" s="36" t="inlineStr">
        <is>
          <t>M</t>
        </is>
      </c>
      <c r="G9" s="38" t="inlineStr">
        <is>
          <t>N.A.</t>
        </is>
      </c>
      <c r="H9" s="39" t="inlineStr">
        <is>
          <t>QA-Evidence/PF-08/</t>
        </is>
      </c>
      <c r="I9" s="39" t="inlineStr">
        <is>
          <t>Claude Code (automated pre-audit)</t>
        </is>
      </c>
      <c r="J9" s="38" t="inlineStr">
        <is>
          <t>2026-08-21</t>
        </is>
      </c>
      <c r="K9" s="39" t="inlineStr">
        <is>
          <t>Hero film does not exist by design (poster-first gradient stand-in; DECISION note in HeroFilm.tsx pending docs/02 media plan). No &lt;video&gt; element exists in the tree, so there is no loading behaviour to test. Gating design verified in code/docs: HeroFilm comment specifies idle-injected video gated on Save-Data and prefers-reduced-motion per docs/04 §6/§73; global prefers-reduced-motion CSS blocks exist (globals.css:62,185); the video-swap client component itself is not yet implemented. Staging-only film-brief note is gated off production (NEXT_PUBLIC_ENV check).</t>
        </is>
      </c>
    </row>
    <row r="10" ht="23.85" customHeight="1" s="23">
      <c r="A10" s="36" t="inlineStr">
        <is>
          <t>PF-09</t>
        </is>
      </c>
      <c r="B10" s="37" t="inlineStr">
        <is>
          <t>Image pipeline</t>
        </is>
      </c>
      <c r="C10" s="37" t="inlineStr">
        <is>
          <t>Audit 10 images</t>
        </is>
      </c>
      <c r="D10" s="37" t="inlineStr">
        <is>
          <t>AVIF or WebP with responsive srcset and sizes</t>
        </is>
      </c>
      <c r="E10" s="36" t="inlineStr">
        <is>
          <t>04 s6</t>
        </is>
      </c>
      <c r="F10" s="36" t="inlineStr">
        <is>
          <t>Mn</t>
        </is>
      </c>
      <c r="G10" s="38" t="inlineStr">
        <is>
          <t>Pass</t>
        </is>
      </c>
      <c r="H10" s="39" t="inlineStr">
        <is>
          <t>QA-Evidence/PF-09/</t>
        </is>
      </c>
      <c r="I10" s="39" t="inlineStr">
        <is>
          <t>Claude Code (automated pre-audit)</t>
        </is>
      </c>
      <c r="J10" s="38" t="inlineStr">
        <is>
          <t>2026-08-21</t>
        </is>
      </c>
      <c r="K10" s="39" t="inlineStr">
        <is>
          <t>Photography pending — the only raster content image is the Group logo emblem. It uses next/image (SiteLogo.tsx), width/height declared, priority; live check shows a single /_next/image request served as image/webp 4.2 kB (optimizer active; curl probe confirms webp re-encode of the PNG source). No raw &lt;img&gt; anywhere; other assets are SVG. Judged Pass for what exists; note next.config has no images{} block so AVIF is not enabled — revisit when the Davos archive / Phase 1 shoot media lands.</t>
        </is>
      </c>
    </row>
    <row r="11" ht="23.85" customHeight="1" s="23">
      <c r="A11" s="36" t="inlineStr">
        <is>
          <t>PF-10</t>
        </is>
      </c>
      <c r="B11" s="37" t="inlineStr">
        <is>
          <t>Geo probes</t>
        </is>
      </c>
      <c r="C11" s="37" t="inlineStr">
        <is>
          <t>WebPageTest Zurich and Mumbai</t>
        </is>
      </c>
      <c r="D11" s="37" t="inlineStr">
        <is>
          <t>TTFB documented; CH under 0.8 s, IN under 1.6 s</t>
        </is>
      </c>
      <c r="E11" s="36" t="inlineStr">
        <is>
          <t>05 s5</t>
        </is>
      </c>
      <c r="F11" s="36" t="inlineStr">
        <is>
          <t>Mn</t>
        </is>
      </c>
      <c r="G11" s="38" t="inlineStr">
        <is>
          <t>Blocked</t>
        </is>
      </c>
      <c r="H11" s="39" t="inlineStr">
        <is>
          <t>QA-Evidence/PF-10/</t>
        </is>
      </c>
      <c r="I11" s="39" t="inlineStr">
        <is>
          <t>Claude Code (automated pre-audit)</t>
        </is>
      </c>
      <c r="J11" s="38" t="inlineStr">
        <is>
          <t>2026-08-21</t>
        </is>
      </c>
      <c r="K11" s="39" t="inlineStr">
        <is>
          <t>WebPageTest Zurich/Mumbai probes unavailable (no external SaaS, and no Hostpoint server/DNS exists yet — pre-staging). Programmatic pre-check filed: local TTFB on the staging build 3.7–4.8 ms across /en, /en/davos-week, /en/services/government-delegations, /en/enquiry (12 runs), i.e. server render cost is negligible; geo latency will dominate and must be measured post-deployment.</t>
        </is>
      </c>
    </row>
  </sheetData>
  <dataValidations count="1">
    <dataValidation sqref="G2:G11" showDropDown="0" showInputMessage="0" showErrorMessage="0" allowBlank="1" type="list" errorStyle="stop" operator="between">
      <formula1>"Pass,Fail,Blocked,N.A."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K1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9" customWidth="1" style="22" min="1" max="1"/>
    <col width="30" customWidth="1" style="22" min="2" max="2"/>
    <col width="44" customWidth="1" style="22" min="3" max="3"/>
    <col width="38" customWidth="1" style="22" min="4" max="4"/>
    <col width="15" customWidth="1" style="22" min="5" max="5"/>
    <col width="6" customWidth="1" style="22" min="6" max="6"/>
    <col width="10" customWidth="1" style="22" min="7" max="7"/>
    <col width="22" customWidth="1" style="22" min="8" max="8"/>
    <col width="12" customWidth="1" style="22" min="9" max="9"/>
    <col width="11" customWidth="1" style="22" min="10" max="10"/>
    <col width="22" customWidth="1" style="22" min="11" max="11"/>
  </cols>
  <sheetData>
    <row r="1" ht="15" customHeight="1" s="23">
      <c r="A1" s="35" t="inlineStr">
        <is>
          <t>ID</t>
        </is>
      </c>
      <c r="B1" s="35" t="inlineStr">
        <is>
          <t>Test case</t>
        </is>
      </c>
      <c r="C1" s="35" t="inlineStr">
        <is>
          <t>Steps / method</t>
        </is>
      </c>
      <c r="D1" s="35" t="inlineStr">
        <is>
          <t>Expected result</t>
        </is>
      </c>
      <c r="E1" s="35" t="inlineStr">
        <is>
          <t>Ref</t>
        </is>
      </c>
      <c r="F1" s="35" t="inlineStr">
        <is>
          <t>Sev</t>
        </is>
      </c>
      <c r="G1" s="35" t="inlineStr">
        <is>
          <t>Result</t>
        </is>
      </c>
      <c r="H1" s="35" t="inlineStr">
        <is>
          <t>Evidence link</t>
        </is>
      </c>
      <c r="I1" s="35" t="inlineStr">
        <is>
          <t>Tester</t>
        </is>
      </c>
      <c r="J1" s="35" t="inlineStr">
        <is>
          <t>Date</t>
        </is>
      </c>
      <c r="K1" s="35" t="inlineStr">
        <is>
          <t>Notes</t>
        </is>
      </c>
    </row>
    <row r="2" ht="15" customHeight="1" s="23">
      <c r="A2" s="36" t="inlineStr">
        <is>
          <t>AC-01</t>
        </is>
      </c>
      <c r="B2" s="37" t="inlineStr">
        <is>
          <t>axe scan per template</t>
        </is>
      </c>
      <c r="C2" s="37" t="inlineStr">
        <is>
          <t>Run axe on all 15 templates</t>
        </is>
      </c>
      <c r="D2" s="37" t="inlineStr">
        <is>
          <t>Zero critical issues</t>
        </is>
      </c>
      <c r="E2" s="36" t="inlineStr">
        <is>
          <t>04 s5</t>
        </is>
      </c>
      <c r="F2" s="36" t="inlineStr">
        <is>
          <t>C</t>
        </is>
      </c>
      <c r="G2" s="38" t="inlineStr">
        <is>
          <t>Pass</t>
        </is>
      </c>
      <c r="H2" s="39" t="inlineStr">
        <is>
          <t>QA-Evidence/AC-01/</t>
        </is>
      </c>
      <c r="I2" s="39" t="inlineStr">
        <is>
          <t>Claude Code (automated pre-audit)</t>
        </is>
      </c>
      <c r="J2" s="38" t="inlineStr">
        <is>
          <t>2026-08-21</t>
        </is>
      </c>
      <c r="K2" s="39" t="inlineStr">
        <is>
          <t>AxeBuilder (@axe-core/playwright, Chromium 1194) on all 15 workbook templates + /en/privacy: ZERO critical violations on every page. Reported non-critical totals: serious color-contrast 247 nodes (detailed under AC-05), serious scrollable-region-focusable 2, moderate region 15, moderate heading-order 3, minor aria-allowed-role 25. Full JSON filed (node html trimmed to fit size cap).</t>
        </is>
      </c>
    </row>
    <row r="3" ht="23.85" customHeight="1" s="23">
      <c r="A3" s="36" t="inlineStr">
        <is>
          <t>AC-02</t>
        </is>
      </c>
      <c r="B3" s="37" t="inlineStr">
        <is>
          <t>Keyboard-only full journey</t>
        </is>
      </c>
      <c r="C3" s="37" t="inlineStr">
        <is>
          <t>Home to service to hub to full enquiry incl. upload, keyboard only</t>
        </is>
      </c>
      <c r="D3" s="37" t="inlineStr">
        <is>
          <t>Complete without traps</t>
        </is>
      </c>
      <c r="E3" s="36" t="inlineStr">
        <is>
          <t>04 s5</t>
        </is>
      </c>
      <c r="F3" s="36" t="inlineStr">
        <is>
          <t>C</t>
        </is>
      </c>
      <c r="G3" s="38" t="inlineStr">
        <is>
          <t>Pass</t>
        </is>
      </c>
      <c r="H3" s="39" t="inlineStr">
        <is>
          <t>QA-Evidence/AC-02/</t>
        </is>
      </c>
      <c r="I3" s="39" t="inlineStr">
        <is>
          <t>Claude Code (automated pre-audit)</t>
        </is>
      </c>
      <c r="J3" s="38" t="inlineStr">
        <is>
          <t>2026-08-21</t>
        </is>
      </c>
      <c r="K3" s="39" t="inlineStr">
        <is>
          <t>Keyboard-only journey (full Tab path logged): consent dismissed via Tab+Enter; Services dropdown opened with Enter, Tab into it, Enter navigates; header Davos Week and Start an enquiry reached by Tab+Enter; segment picked with Enter; wizard step completed typing-only; focus moves to step heading on each phase change; 60-Tab trap sweep on contact step found no trap. Supplementary radio-arrow-key-check.txt: radio chip groups respond to ArrowDown/ArrowUp/Space (delegation purpose group).</t>
        </is>
      </c>
    </row>
    <row r="4" ht="15" customHeight="1" s="23">
      <c r="A4" s="36" t="inlineStr">
        <is>
          <t>AC-03</t>
        </is>
      </c>
      <c r="B4" s="37" t="inlineStr">
        <is>
          <t>Focus visibility</t>
        </is>
      </c>
      <c r="C4" s="37" t="inlineStr">
        <is>
          <t>Tab across navy and light sections</t>
        </is>
      </c>
      <c r="D4" s="37" t="inlineStr">
        <is>
          <t>2 px visible ring everywhere</t>
        </is>
      </c>
      <c r="E4" s="36" t="inlineStr">
        <is>
          <t>04 s5</t>
        </is>
      </c>
      <c r="F4" s="36" t="inlineStr">
        <is>
          <t>M</t>
        </is>
      </c>
      <c r="G4" s="38" t="inlineStr">
        <is>
          <t>Pass</t>
        </is>
      </c>
      <c r="H4" s="39" t="inlineStr">
        <is>
          <t>QA-Evidence/AC-03/</t>
        </is>
      </c>
      <c r="I4" s="39" t="inlineStr">
        <is>
          <t>Claude Code (automated pre-audit)</t>
        </is>
      </c>
      <c r="J4" s="38" t="inlineStr">
        <is>
          <t>2026-08-21</t>
        </is>
      </c>
      <c r="K4" s="39" t="inlineStr">
        <is>
          <t>Computed :focus-visible outlines sampled across 3 templates after keyboard focus: dark surfaces (header, hero CTAs, dark sections) = 2px solid rgb(191,160,90) gold-500; light surfaces = 2px solid rgb(22,64,105) navy-900; offset 2px everywhere. Minor observation (not a failure): Tailwind transition-colors also transitions outline-color, so on those elements the ring colour fades in from currentColor over 200ms (ring itself present from first frame; disabled under prefers-reduced-motion). Initial instant-sample readings in the log's first pass reflect that transition, corrected log filed.</t>
        </is>
      </c>
    </row>
    <row r="5" ht="15" customHeight="1" s="23">
      <c r="A5" s="36" t="inlineStr">
        <is>
          <t>AC-04</t>
        </is>
      </c>
      <c r="B5" s="37" t="inlineStr">
        <is>
          <t>Skip link</t>
        </is>
      </c>
      <c r="C5" s="37" t="inlineStr">
        <is>
          <t>First tab on each template</t>
        </is>
      </c>
      <c r="D5" s="37" t="inlineStr">
        <is>
          <t>Skip to content works</t>
        </is>
      </c>
      <c r="E5" s="36" t="inlineStr">
        <is>
          <t>04 s5</t>
        </is>
      </c>
      <c r="F5" s="36" t="inlineStr">
        <is>
          <t>Mn</t>
        </is>
      </c>
      <c r="G5" s="38" t="inlineStr">
        <is>
          <t>Pass</t>
        </is>
      </c>
      <c r="H5" s="39" t="inlineStr">
        <is>
          <t>QA-Evidence/AC-04/</t>
        </is>
      </c>
      <c r="I5" s="39" t="inlineStr">
        <is>
          <t>Claude Code (automated pre-audit)</t>
        </is>
      </c>
      <c r="J5" s="38" t="inlineStr">
        <is>
          <t>2026-08-21</t>
        </is>
      </c>
      <c r="K5" s="39" t="inlineStr">
        <is>
          <t>On /en, /en/davos-week, /en/work: first Tab focuses visible 'Skip to content' (href=#main, 146x42px at 16,16). Enter sets #main as fragment target and the next Tab lands inside #main (hero CTA / breadcrumb), header bypassed - functional check filed. Note: #main has no tabindex=-1, so activeElement stays body after activation and skipping relies on browser sequential-focus-from-fragment behaviour (works in Chromium; only browser available).</t>
        </is>
      </c>
    </row>
    <row r="6" ht="15" customHeight="1" s="23">
      <c r="A6" s="36" t="inlineStr">
        <is>
          <t>AC-05</t>
        </is>
      </c>
      <c r="B6" s="37" t="inlineStr">
        <is>
          <t>Contrast checks</t>
        </is>
      </c>
      <c r="C6" s="37" t="inlineStr">
        <is>
          <t>Verify body, eyebrows, gold usage against tokens</t>
        </is>
      </c>
      <c r="D6" s="37" t="inlineStr">
        <is>
          <t>AA met; gold only in permitted roles</t>
        </is>
      </c>
      <c r="E6" s="36" t="inlineStr">
        <is>
          <t>04 s1</t>
        </is>
      </c>
      <c r="F6" s="36" t="inlineStr">
        <is>
          <t>M</t>
        </is>
      </c>
      <c r="G6" s="38" t="inlineStr">
        <is>
          <t>Pass</t>
        </is>
      </c>
      <c r="H6" s="39" t="inlineStr">
        <is>
          <t>QA-Evidence/AC-05/</t>
        </is>
      </c>
      <c r="I6" s="39" t="inlineStr">
        <is>
          <t>Claude Code (automated pre-audit)</t>
        </is>
      </c>
      <c r="J6" s="38" t="inlineStr">
        <is>
          <t>2026-08-21</t>
        </is>
      </c>
      <c r="K6" s="39" t="inlineStr">
        <is>
          <t>Round 2 retest: AA-compliant small-gold tokens added (gold-700 #866B26 for light surfaces, gold-400 #D2B878 for navy, DECISION documented in globals.css); footer copy moved to ice tokens; small stone-400 text raised to stone-500; gold buttons and outline links moved to gold-400 fills; header idle state raised to navy-950/90 so it never sits translucent over light content; placeholder scrim strengthened. axe color-contrast: 0 nodes across 10 templates (was 247), 0 critical violations.</t>
        </is>
      </c>
    </row>
    <row r="7" ht="15" customHeight="1" s="23">
      <c r="A7" s="36" t="inlineStr">
        <is>
          <t>AC-06</t>
        </is>
      </c>
      <c r="B7" s="37" t="inlineStr">
        <is>
          <t>Forms announced</t>
        </is>
      </c>
      <c r="C7" s="37" t="inlineStr">
        <is>
          <t>NVDA and VoiceOver on wizard errors</t>
        </is>
      </c>
      <c r="D7" s="37" t="inlineStr">
        <is>
          <t>Labels and errors announced via describedby</t>
        </is>
      </c>
      <c r="E7" s="36" t="inlineStr">
        <is>
          <t>04 s5</t>
        </is>
      </c>
      <c r="F7" s="36" t="inlineStr">
        <is>
          <t>M</t>
        </is>
      </c>
      <c r="G7" s="38" t="inlineStr">
        <is>
          <t>Blocked</t>
        </is>
      </c>
      <c r="H7" s="39" t="inlineStr">
        <is>
          <t>QA-Evidence/AC-06/</t>
        </is>
      </c>
      <c r="I7" s="39" t="inlineStr">
        <is>
          <t>Claude Code (automated pre-audit)</t>
        </is>
      </c>
      <c r="J7" s="38" t="inlineStr">
        <is>
          <t>2026-08-21</t>
        </is>
      </c>
      <c r="K7" s="39" t="inlineStr">
        <is>
          <t>NVDA/VoiceOver unavailable (Linux container). Programmatic pre-check POSITIVE: errors render as p[role=alert][id=&lt;field&gt;-error]; errored fieldsets carry legend + aria-describedby resolving to the alert; text fields have label[for], aria-required/invalid/describedby; radios/checkboxes implicitly labelled; honeypot aria-hidden. Residual for the human SR pass: no focus move to first error and no aria-live summary after failed validation.</t>
        </is>
      </c>
    </row>
    <row r="8" ht="15" customHeight="1" s="23">
      <c r="A8" s="36" t="inlineStr">
        <is>
          <t>AC-07</t>
        </is>
      </c>
      <c r="B8" s="37" t="inlineStr">
        <is>
          <t>Accordion and menu ARIA</t>
        </is>
      </c>
      <c r="C8" s="37" t="inlineStr">
        <is>
          <t>Inspect patterns and SR behaviour</t>
        </is>
      </c>
      <c r="D8" s="37" t="inlineStr">
        <is>
          <t>APG-conformant states</t>
        </is>
      </c>
      <c r="E8" s="36" t="inlineStr">
        <is>
          <t>04 s5</t>
        </is>
      </c>
      <c r="F8" s="36" t="inlineStr">
        <is>
          <t>M</t>
        </is>
      </c>
      <c r="G8" s="38" t="inlineStr">
        <is>
          <t>Pass</t>
        </is>
      </c>
      <c r="H8" s="39" t="inlineStr">
        <is>
          <t>QA-Evidence/AC-07/</t>
        </is>
      </c>
      <c r="I8" s="39" t="inlineStr">
        <is>
          <t>Claude Code (automated pre-audit)</t>
        </is>
      </c>
      <c r="J8" s="38" t="inlineStr">
        <is>
          <t>2026-08-21</t>
        </is>
      </c>
      <c r="K8" s="39" t="inlineStr">
        <is>
          <t>Round 2 retest: Services and Destinations disclosure buttons and the mobile burger now carry aria-controls (resolvable panel ids) and aria-haspopup alongside aria-expanded; FAQ accordion was already APG-conformant. Verified in rendered DOM.</t>
        </is>
      </c>
    </row>
    <row r="9" ht="15" customHeight="1" s="23">
      <c r="A9" s="36" t="inlineStr">
        <is>
          <t>AC-08</t>
        </is>
      </c>
      <c r="B9" s="37" t="inlineStr">
        <is>
          <t>Film pause control</t>
        </is>
      </c>
      <c r="C9" s="37" t="inlineStr">
        <is>
          <t>Locate and operate</t>
        </is>
      </c>
      <c r="D9" s="37" t="inlineStr">
        <is>
          <t>Present, keyboard reachable</t>
        </is>
      </c>
      <c r="E9" s="36" t="inlineStr">
        <is>
          <t>04 s5</t>
        </is>
      </c>
      <c r="F9" s="36" t="inlineStr">
        <is>
          <t>M</t>
        </is>
      </c>
      <c r="G9" s="38" t="inlineStr">
        <is>
          <t>N.A.</t>
        </is>
      </c>
      <c r="H9" s="39" t="inlineStr">
        <is>
          <t>QA-Evidence/AC-08/</t>
        </is>
      </c>
      <c r="I9" s="39" t="inlineStr">
        <is>
          <t>Claude Code (automated pre-audit)</t>
        </is>
      </c>
      <c r="J9" s="38" t="inlineStr">
        <is>
          <t>2026-08-21</t>
        </is>
      </c>
      <c r="K9" s="39" t="inlineStr">
        <is>
          <t>No hero film exists yet by design: zero &lt;video&gt;/autoplay in codebase or rendered /en (placeholder pending Davos archive / Phase 1 shoot). Spec requirement stands for the film build: docs/04 C03 pause/play control bottom-right, film never conveys sole meaning.</t>
        </is>
      </c>
    </row>
    <row r="10" ht="15" customHeight="1" s="23">
      <c r="A10" s="36" t="inlineStr">
        <is>
          <t>AC-09</t>
        </is>
      </c>
      <c r="B10" s="37" t="inlineStr">
        <is>
          <t>Landmarks and headings</t>
        </is>
      </c>
      <c r="C10" s="37" t="inlineStr">
        <is>
          <t>Audit structure</t>
        </is>
      </c>
      <c r="D10" s="37" t="inlineStr">
        <is>
          <t>One h1, logical order, landmarks present</t>
        </is>
      </c>
      <c r="E10" s="36" t="inlineStr">
        <is>
          <t>04 s5</t>
        </is>
      </c>
      <c r="F10" s="36" t="inlineStr">
        <is>
          <t>Mn</t>
        </is>
      </c>
      <c r="G10" s="38" t="inlineStr">
        <is>
          <t>Pass</t>
        </is>
      </c>
      <c r="H10" s="39" t="inlineStr">
        <is>
          <t>QA-Evidence/AC-09/</t>
        </is>
      </c>
      <c r="I10" s="39" t="inlineStr">
        <is>
          <t>Claude Code (automated pre-audit)</t>
        </is>
      </c>
      <c r="J10" s="38" t="inlineStr">
        <is>
          <t>2026-08-21</t>
        </is>
      </c>
      <c r="K10" s="39" t="inlineStr">
        <is>
          <t>Round 2 retest: sr-only h2 headings added above the card grids on /en/services, /en/destinations and /en/work; h1-h2-h3 order verified in rendered HTML. All 36 routes clean.</t>
        </is>
      </c>
    </row>
    <row r="11" ht="15" customHeight="1" s="23">
      <c r="A11" s="36" t="inlineStr">
        <is>
          <t>AC-10</t>
        </is>
      </c>
      <c r="B11" s="37" t="inlineStr">
        <is>
          <t>200 percent zoom</t>
        </is>
      </c>
      <c r="C11" s="37" t="inlineStr">
        <is>
          <t>Zoom key templates</t>
        </is>
      </c>
      <c r="D11" s="37" t="inlineStr">
        <is>
          <t>No loss of content or function</t>
        </is>
      </c>
      <c r="E11" s="36" t="inlineStr">
        <is>
          <t>04 s5</t>
        </is>
      </c>
      <c r="F11" s="36" t="inlineStr">
        <is>
          <t>M</t>
        </is>
      </c>
      <c r="G11" s="38" t="inlineStr">
        <is>
          <t>Pass</t>
        </is>
      </c>
      <c r="H11" s="39" t="inlineStr">
        <is>
          <t>QA-Evidence/AC-10/</t>
        </is>
      </c>
      <c r="I11" s="39" t="inlineStr">
        <is>
          <t>Claude Code (automated pre-audit)</t>
        </is>
      </c>
      <c r="J11" s="38" t="inlineStr">
        <is>
          <t>2026-08-21</t>
        </is>
      </c>
      <c r="K11" s="39" t="inlineStr">
        <is>
          <t>Emulation method: 640px viewport at desktop Chromium UA (equivalent of 200% on 1280; native browser-zoom unavailable headless). /en, /en/davos-week, /en/enquiry: scrollWidth==clientWidth (no horizontal scroll), h1/nav/enquiry CTA present and visible, wizard advances to step 1 and renders fieldsets at this width. Screenshots filed.</t>
        </is>
      </c>
    </row>
    <row r="12" ht="23.85" customHeight="1" s="23">
      <c r="A12" s="36" t="inlineStr">
        <is>
          <t>AC-11</t>
        </is>
      </c>
      <c r="B12" s="37" t="inlineStr">
        <is>
          <t>Screen reader task pass</t>
        </is>
      </c>
      <c r="C12" s="37" t="inlineStr">
        <is>
          <t>NVDA and VoiceOver: find a service and submit a test enquiry</t>
        </is>
      </c>
      <c r="D12" s="37" t="inlineStr">
        <is>
          <t>Both complete</t>
        </is>
      </c>
      <c r="E12" s="36" t="inlineStr">
        <is>
          <t>04 s5</t>
        </is>
      </c>
      <c r="F12" s="36" t="inlineStr">
        <is>
          <t>M</t>
        </is>
      </c>
      <c r="G12" s="38" t="inlineStr">
        <is>
          <t>Blocked</t>
        </is>
      </c>
      <c r="H12" s="39" t="inlineStr">
        <is>
          <t>QA-Evidence/AC-11/</t>
        </is>
      </c>
      <c r="I12" s="39" t="inlineStr">
        <is>
          <t>Claude Code (automated pre-audit)</t>
        </is>
      </c>
      <c r="J12" s="38" t="inlineStr">
        <is>
          <t>2026-08-21</t>
        </is>
      </c>
      <c r="K12" s="39" t="inlineStr">
        <is>
          <t>NVDA and VoiceOver do not exist in this Linux/Chromium-only environment; a real screen-reader task pass is impossible. Programmatic proxies filed under AC-06/AC-07/AC-09. Must be run by a human before launch.</t>
        </is>
      </c>
    </row>
    <row r="13" ht="15" customHeight="1" s="23">
      <c r="A13" s="36" t="inlineStr">
        <is>
          <t>AC-12</t>
        </is>
      </c>
      <c r="B13" s="37" t="inlineStr">
        <is>
          <t>Target sizes</t>
        </is>
      </c>
      <c r="C13" s="37" t="inlineStr">
        <is>
          <t>Sample touch targets</t>
        </is>
      </c>
      <c r="D13" s="37" t="inlineStr">
        <is>
          <t>At least 24 px</t>
        </is>
      </c>
      <c r="E13" s="36" t="inlineStr">
        <is>
          <t>04 s5</t>
        </is>
      </c>
      <c r="F13" s="36" t="inlineStr">
        <is>
          <t>Mn</t>
        </is>
      </c>
      <c r="G13" s="38" t="inlineStr">
        <is>
          <t>Pass</t>
        </is>
      </c>
      <c r="H13" s="39" t="inlineStr">
        <is>
          <t>QA-Evidence/AC-12/</t>
        </is>
      </c>
      <c r="I13" s="39" t="inlineStr">
        <is>
          <t>Claude Code (automated pre-audit)</t>
        </is>
      </c>
      <c r="J13" s="38" t="inlineStr">
        <is>
          <t>2026-08-21</t>
        </is>
      </c>
      <c r="K13" s="39" t="inlineStr">
        <is>
          <t>24 elements sampled across /en, /en/davos-week, /en/enquiry incl. per-page smallest. All buttons, CTAs, form controls, segment cards, header items, FAB &gt;= 24x24 (33-420px). Below-24 cases all fall under WCAG 2.5.8 exceptions, measured: stacked footer text links h=17px but 36-37px centre spacing (spacing exception); mailto link inline in text (inline exception); skip link 1x1 only while sr-only hidden (146x42 when focused, not a pointer target when hidden). Workbook's literal '&gt;=24x24 each' is stricter than SC 2.5.8; analysis filed in evidence.</t>
        </is>
      </c>
    </row>
  </sheetData>
  <dataValidations count="1">
    <dataValidation sqref="G2:G13" showDropDown="0" showInputMessage="0" showErrorMessage="0" allowBlank="1" type="list" errorStyle="stop" operator="between">
      <formula1>"Pass,Fail,Blocked,N.A."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K1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9" customWidth="1" style="22" min="1" max="1"/>
    <col width="30" customWidth="1" style="22" min="2" max="2"/>
    <col width="44" customWidth="1" style="22" min="3" max="3"/>
    <col width="38" customWidth="1" style="22" min="4" max="4"/>
    <col width="15" customWidth="1" style="22" min="5" max="5"/>
    <col width="6" customWidth="1" style="22" min="6" max="6"/>
    <col width="10" customWidth="1" style="22" min="7" max="7"/>
    <col width="22" customWidth="1" style="22" min="8" max="8"/>
    <col width="12" customWidth="1" style="22" min="9" max="9"/>
    <col width="11" customWidth="1" style="22" min="10" max="10"/>
    <col width="22" customWidth="1" style="22" min="11" max="11"/>
  </cols>
  <sheetData>
    <row r="1" ht="15" customHeight="1" s="23">
      <c r="A1" s="35" t="inlineStr">
        <is>
          <t>ID</t>
        </is>
      </c>
      <c r="B1" s="35" t="inlineStr">
        <is>
          <t>Test case</t>
        </is>
      </c>
      <c r="C1" s="35" t="inlineStr">
        <is>
          <t>Steps / method</t>
        </is>
      </c>
      <c r="D1" s="35" t="inlineStr">
        <is>
          <t>Expected result</t>
        </is>
      </c>
      <c r="E1" s="35" t="inlineStr">
        <is>
          <t>Ref</t>
        </is>
      </c>
      <c r="F1" s="35" t="inlineStr">
        <is>
          <t>Sev</t>
        </is>
      </c>
      <c r="G1" s="35" t="inlineStr">
        <is>
          <t>Result</t>
        </is>
      </c>
      <c r="H1" s="35" t="inlineStr">
        <is>
          <t>Evidence link</t>
        </is>
      </c>
      <c r="I1" s="35" t="inlineStr">
        <is>
          <t>Tester</t>
        </is>
      </c>
      <c r="J1" s="35" t="inlineStr">
        <is>
          <t>Date</t>
        </is>
      </c>
      <c r="K1" s="35" t="inlineStr">
        <is>
          <t>Notes</t>
        </is>
      </c>
    </row>
    <row r="2" ht="23.85" customHeight="1" s="23">
      <c r="A2" s="36" t="inlineStr">
        <is>
          <t>SR-01</t>
        </is>
      </c>
      <c r="B2" s="37" t="inlineStr">
        <is>
          <t>Swiss server evidence</t>
        </is>
      </c>
      <c r="C2" s="37" t="inlineStr">
        <is>
          <t>Archive Hostpoint contract page, IP geolocation, traceroute</t>
        </is>
      </c>
      <c r="D2" s="37" t="inlineStr">
        <is>
          <t>Server confirmed in Switzerland; evidence filed</t>
        </is>
      </c>
      <c r="E2" s="36" t="inlineStr">
        <is>
          <t>08 s5</t>
        </is>
      </c>
      <c r="F2" s="36" t="inlineStr">
        <is>
          <t>C</t>
        </is>
      </c>
      <c r="G2" s="38" t="inlineStr">
        <is>
          <t>Blocked</t>
        </is>
      </c>
      <c r="H2" s="39" t="inlineStr">
        <is>
          <t>QA-Evidence/SR-01/</t>
        </is>
      </c>
      <c r="I2" s="39" t="inlineStr">
        <is>
          <t>Claude Code (automated pre-audit)</t>
        </is>
      </c>
      <c r="J2" s="38" t="inlineStr">
        <is>
          <t>2026-08-21</t>
        </is>
      </c>
      <c r="K2" s="39" t="inlineStr">
        <is>
          <t>Pre-staging: no Hostpoint server exists to evidence Swiss residency. Design verified in docs/08 s1/s5 (Swiss data centre, all data in CH); code stores everything under DATA_DIR local disk (lib/enquiry/store.ts) which maps to Swiss NVMe on the Flex server.</t>
        </is>
      </c>
    </row>
    <row r="3" ht="23.85" customHeight="1" s="23">
      <c r="A3" s="36" t="inlineStr">
        <is>
          <t>SR-02</t>
        </is>
      </c>
      <c r="B3" s="37" t="inlineStr">
        <is>
          <t>All enquiry endpoints on the Swiss host</t>
        </is>
      </c>
      <c r="C3" s="37" t="inlineStr">
        <is>
          <t>Inspect DNS and hosts for POST, uploads, attachment URLs</t>
        </is>
      </c>
      <c r="D3" s="37" t="inlineStr">
        <is>
          <t>Same Hostpoint server only; no third-party storage</t>
        </is>
      </c>
      <c r="E3" s="36" t="inlineStr">
        <is>
          <t>08 s5</t>
        </is>
      </c>
      <c r="F3" s="36" t="inlineStr">
        <is>
          <t>C</t>
        </is>
      </c>
      <c r="G3" s="38" t="inlineStr">
        <is>
          <t>Blocked</t>
        </is>
      </c>
      <c r="H3" s="39" t="inlineStr">
        <is>
          <t>QA-Evidence/SR-02/</t>
        </is>
      </c>
      <c r="I3" s="39" t="inlineStr">
        <is>
          <t>Claude Code (automated pre-audit)</t>
        </is>
      </c>
      <c r="J3" s="38" t="inlineStr">
        <is>
          <t>2026-08-21</t>
        </is>
      </c>
      <c r="K3" s="39" t="inlineStr">
        <is>
          <t>Pre-staging: /api/enquiry runs only on the local QA server. Pre-check: persistence is DATA_DIR JSON on local disk; SMTP/webhook fan-out unset here and queue-on-failure by design; no third-country calls in code. Re-test on the Hostpoint host.</t>
        </is>
      </c>
    </row>
    <row r="4" ht="15" customHeight="1" s="23">
      <c r="A4" s="36" t="inlineStr">
        <is>
          <t>SR-03</t>
        </is>
      </c>
      <c r="B4" s="37" t="inlineStr">
        <is>
          <t>Signed URL policy</t>
        </is>
      </c>
      <c r="C4" s="37" t="inlineStr">
        <is>
          <t>Fetch attachment link; tamper; simulate expiry</t>
        </is>
      </c>
      <c r="D4" s="37" t="inlineStr">
        <is>
          <t>30-day signed; unauthorised blocked</t>
        </is>
      </c>
      <c r="E4" s="36" t="inlineStr">
        <is>
          <t>05 s6</t>
        </is>
      </c>
      <c r="F4" s="36" t="inlineStr">
        <is>
          <t>M</t>
        </is>
      </c>
      <c r="G4" s="38" t="inlineStr">
        <is>
          <t>Fail</t>
        </is>
      </c>
      <c r="H4" s="39" t="inlineStr">
        <is>
          <t>QA-Evidence/SR-03/</t>
        </is>
      </c>
      <c r="I4" s="39" t="inlineStr">
        <is>
          <t>Claude Code (automated pre-audit)</t>
        </is>
      </c>
      <c r="J4" s="38" t="inlineStr">
        <is>
          <t>2026-08-21</t>
        </is>
      </c>
      <c r="K4" s="39" t="inlineStr">
        <is>
          <t>Genuine gap vs docs/05 s6 (signed 30-day URLs for attachment access): persistAttachment() writes to local disk and returns a data:// pseudo-URL; no URL-signing code exists in the repo. A DECISION comment (store.ts lines 52-56) defers signing to task T4.3 pending the spike-S0 storage decision — documented deferral, but the control is not implemented as built.</t>
        </is>
      </c>
    </row>
    <row r="5" ht="15" customHeight="1" s="23">
      <c r="A5" s="36" t="inlineStr">
        <is>
          <t>SR-04</t>
        </is>
      </c>
      <c r="B5" s="37" t="inlineStr">
        <is>
          <t>Security headers grade</t>
        </is>
      </c>
      <c r="C5" s="37" t="inlineStr">
        <is>
          <t>securityheaders.com on production</t>
        </is>
      </c>
      <c r="D5" s="37" t="inlineStr">
        <is>
          <t>Grade A or better; CSP with nonces</t>
        </is>
      </c>
      <c r="E5" s="36" t="inlineStr">
        <is>
          <t>05 s6</t>
        </is>
      </c>
      <c r="F5" s="36" t="inlineStr">
        <is>
          <t>M</t>
        </is>
      </c>
      <c r="G5" s="38" t="inlineStr">
        <is>
          <t>Fail</t>
        </is>
      </c>
      <c r="H5" s="39" t="inlineStr">
        <is>
          <t>QA-Evidence/SR-04/</t>
        </is>
      </c>
      <c r="I5" s="39" t="inlineStr">
        <is>
          <t>Claude Code (automated pre-audit)</t>
        </is>
      </c>
      <c r="J5" s="38" t="inlineStr">
        <is>
          <t>2026-08-21</t>
        </is>
      </c>
      <c r="K5" s="39" t="inlineStr">
        <is>
          <t>Round 2 improvement, requirement not yet literally met: Content-Security-Policy now sent (default-src self; script/connect allowances for Plausible only; frame-ancestors none; object-src none; base-uri and form-action self) with a documented DECISION: per-request nonces would force dynamic rendering and forfeit the static prerendering the CWV budgets depend on, so the nonce upgrade is scheduled at the Hostpoint Nginx layer (docs/08). docs/05 s6 asks for CSP with nonces, so the row stays Fail until that lands; header grade materially improved from round 1.</t>
        </is>
      </c>
    </row>
    <row r="6" ht="15" customHeight="1" s="23">
      <c r="A6" s="36" t="inlineStr">
        <is>
          <t>SR-05</t>
        </is>
      </c>
      <c r="B6" s="37" t="inlineStr">
        <is>
          <t>TLS grade</t>
        </is>
      </c>
      <c r="C6" s="37" t="inlineStr">
        <is>
          <t>SSL Labs</t>
        </is>
      </c>
      <c r="D6" s="37" t="inlineStr">
        <is>
          <t>Grade A; modern protocols only</t>
        </is>
      </c>
      <c r="E6" s="36" t="inlineStr">
        <is>
          <t>08 s3</t>
        </is>
      </c>
      <c r="F6" s="36" t="inlineStr">
        <is>
          <t>M</t>
        </is>
      </c>
      <c r="G6" s="38" t="inlineStr">
        <is>
          <t>Blocked</t>
        </is>
      </c>
      <c r="H6" s="39" t="inlineStr">
        <is>
          <t>QA-Evidence/SR-05/</t>
        </is>
      </c>
      <c r="I6" s="39" t="inlineStr">
        <is>
          <t>Claude Code (automated pre-audit)</t>
        </is>
      </c>
      <c r="J6" s="38" t="inlineStr">
        <is>
          <t>2026-08-21</t>
        </is>
      </c>
      <c r="K6" s="39" t="inlineStr">
        <is>
          <t>No TLS endpoint exists: QA build is plain HTTP on 127.0.0.1:3222; TLS terminates at the future Hostpoint Nginx proxy (Let's Encrypt, docs/08). SSL Labs also unreachable. No pre-check possible without a TLS listener.</t>
        </is>
      </c>
    </row>
    <row r="7" ht="15" customHeight="1" s="23">
      <c r="A7" s="36" t="inlineStr">
        <is>
          <t>SR-06</t>
        </is>
      </c>
      <c r="B7" s="37" t="inlineStr">
        <is>
          <t>Admin authentication</t>
        </is>
      </c>
      <c r="C7" s="37" t="inlineStr">
        <is>
          <t>Attempt weak login; session rules; staging basic auth</t>
        </is>
      </c>
      <c r="D7" s="37" t="inlineStr">
        <is>
          <t>Strong auth enforced; staging protected</t>
        </is>
      </c>
      <c r="E7" s="36" t="inlineStr">
        <is>
          <t>05 s6</t>
        </is>
      </c>
      <c r="F7" s="36" t="inlineStr">
        <is>
          <t>C</t>
        </is>
      </c>
      <c r="G7" s="38" t="inlineStr">
        <is>
          <t>Blocked</t>
        </is>
      </c>
      <c r="H7" s="39" t="inlineStr">
        <is>
          <t>QA-Evidence/SR-06/</t>
        </is>
      </c>
      <c r="I7" s="39" t="inlineStr">
        <is>
          <t>Claude Code (automated pre-audit)</t>
        </is>
      </c>
      <c r="J7" s="38" t="inlineStr">
        <is>
          <t>2026-08-21</t>
        </is>
      </c>
      <c r="K7" s="39" t="inlineStr">
        <is>
          <t>No admin surface exists: Payload CMS is epic E2, not embedded (no payload dependency; GET /admin =&gt; 404, so nothing unauthenticated is exposed). Staging basic auth is Hostpoint Control-Panel-level and no server exists. Critical launch gate — re-test with E2 + server.</t>
        </is>
      </c>
    </row>
    <row r="8" ht="15" customHeight="1" s="23">
      <c r="A8" s="36" t="inlineStr">
        <is>
          <t>SR-07</t>
        </is>
      </c>
      <c r="B8" s="37" t="inlineStr">
        <is>
          <t>No secrets in client</t>
        </is>
      </c>
      <c r="C8" s="37" t="inlineStr">
        <is>
          <t>Grep built JS for keys and tokens</t>
        </is>
      </c>
      <c r="D8" s="37" t="inlineStr">
        <is>
          <t>None</t>
        </is>
      </c>
      <c r="E8" s="36" t="inlineStr">
        <is>
          <t>05 s6</t>
        </is>
      </c>
      <c r="F8" s="36" t="inlineStr">
        <is>
          <t>C</t>
        </is>
      </c>
      <c r="G8" s="38" t="inlineStr">
        <is>
          <t>Pass</t>
        </is>
      </c>
      <c r="H8" s="39" t="inlineStr">
        <is>
          <t>QA-Evidence/SR-07/</t>
        </is>
      </c>
      <c r="I8" s="39" t="inlineStr">
        <is>
          <t>Claude Code (automated pre-audit)</t>
        </is>
      </c>
      <c r="J8" s="38" t="inlineStr">
        <is>
          <t>2026-08-21</t>
        </is>
      </c>
      <c r="K8" s="39" t="inlineStr">
        <is>
          <t>Grepped .next/static (client-delivered) and .next/standalone for env var names, key/token/secret/password patterns and every non-empty .env.example value. Client bundles: zero env names, zero mailbox/from-address values (only the public enquiry@ contact address that page content displays by design); all 32 'password' hits are React input-type handling and URL-polyfill internals (contexts archived). Standalone server bundle: no hardcoded secret literals, no .env files. Note: no real secrets exist in this pre-staging environment; scan proves the build pipeline embeds none of the placeholder values.</t>
        </is>
      </c>
    </row>
    <row r="9" ht="15" customHeight="1" s="23">
      <c r="A9" s="36" t="inlineStr">
        <is>
          <t>SR-08</t>
        </is>
      </c>
      <c r="B9" s="37" t="inlineStr">
        <is>
          <t>Runtime env protection</t>
        </is>
      </c>
      <c r="C9" s="37" t="inlineStr">
        <is>
          <t>Check shared/.env permissions and location</t>
        </is>
      </c>
      <c r="D9" s="37" t="inlineStr">
        <is>
          <t>chmod 600, outside web root</t>
        </is>
      </c>
      <c r="E9" s="36" t="inlineStr">
        <is>
          <t>08 s6</t>
        </is>
      </c>
      <c r="F9" s="36" t="inlineStr">
        <is>
          <t>M</t>
        </is>
      </c>
      <c r="G9" s="38" t="inlineStr">
        <is>
          <t>Blocked</t>
        </is>
      </c>
      <c r="H9" s="39" t="inlineStr">
        <is>
          <t>QA-Evidence/SR-08/</t>
        </is>
      </c>
      <c r="I9" s="39" t="inlineStr">
        <is>
          <t>Claude Code (automated pre-audit)</t>
        </is>
      </c>
      <c r="J9" s="38" t="inlineStr">
        <is>
          <t>2026-08-21</t>
        </is>
      </c>
      <c r="K9" s="39" t="inlineStr">
        <is>
          <t>Server-side control (.env chmod 600 on Flex server, docs/08 s5/s6). Local pre-checks run and clean: gitleaks 8.24.3 full-history scan (7 commits) — no leaks; .gitignore covers .env variants (verified with git check-ignore); only .env.example committed.</t>
        </is>
      </c>
    </row>
    <row r="10" ht="15" customHeight="1" s="23">
      <c r="A10" s="36" t="inlineStr">
        <is>
          <t>SR-09</t>
        </is>
      </c>
      <c r="B10" s="37" t="inlineStr">
        <is>
          <t>Restore drill</t>
        </is>
      </c>
      <c r="C10" s="37" t="inlineStr">
        <is>
          <t>Restore yesterday's backup to scratch and boot</t>
        </is>
      </c>
      <c r="D10" s="37" t="inlineStr">
        <is>
          <t>Documented successful drill</t>
        </is>
      </c>
      <c r="E10" s="36" t="inlineStr">
        <is>
          <t>08 s4</t>
        </is>
      </c>
      <c r="F10" s="36" t="inlineStr">
        <is>
          <t>C</t>
        </is>
      </c>
      <c r="G10" s="38" t="inlineStr">
        <is>
          <t>Blocked</t>
        </is>
      </c>
      <c r="H10" s="39" t="inlineStr">
        <is>
          <t>QA-Evidence/SR-09/</t>
        </is>
      </c>
      <c r="I10" s="39" t="inlineStr">
        <is>
          <t>Claude Code (automated pre-audit)</t>
        </is>
      </c>
      <c r="J10" s="38" t="inlineStr">
        <is>
          <t>2026-08-21</t>
        </is>
      </c>
      <c r="K10" s="39" t="inlineStr">
        <is>
          <t>Pre-staging: Hostpoint snapshots/backups and the nightly export archive do not exist; nothing to restore from. No meaningful local equivalent for a provider-backup restore drill.</t>
        </is>
      </c>
    </row>
    <row r="11" ht="15" customHeight="1" s="23">
      <c r="A11" s="36" t="inlineStr">
        <is>
          <t>SR-10</t>
        </is>
      </c>
      <c r="B11" s="37" t="inlineStr">
        <is>
          <t>Nightly export archive</t>
        </is>
      </c>
      <c r="C11" s="37" t="inlineStr">
        <is>
          <t>Inspect backups folder</t>
        </is>
      </c>
      <c r="D11" s="37" t="inlineStr">
        <is>
          <t>Present, rotating 30 days</t>
        </is>
      </c>
      <c r="E11" s="36" t="inlineStr">
        <is>
          <t>08 s4</t>
        </is>
      </c>
      <c r="F11" s="36" t="inlineStr">
        <is>
          <t>Mn</t>
        </is>
      </c>
      <c r="G11" s="38" t="inlineStr">
        <is>
          <t>Blocked</t>
        </is>
      </c>
      <c r="H11" s="39" t="inlineStr">
        <is>
          <t>QA-Evidence/SR-10/</t>
        </is>
      </c>
      <c r="I11" s="39" t="inlineStr">
        <is>
          <t>Claude Code (automated pre-audit)</t>
        </is>
      </c>
      <c r="J11" s="38" t="inlineStr">
        <is>
          <t>2026-08-21</t>
        </is>
      </c>
      <c r="K11" s="39" t="inlineStr">
        <is>
          <t>Nightly cron is server-side (docs/08 s3). Pre-check: export script exists and is wired — package.json export:content -&gt; scripts/export-content.ts dumping the typed content layer to exports/&lt;date&gt;/ JSON + media manifest. Cron registration and tar.gz rotation are server-side by design.</t>
        </is>
      </c>
    </row>
    <row r="12" ht="15" customHeight="1" s="23">
      <c r="A12" s="36" t="inlineStr">
        <is>
          <t>SR-11</t>
        </is>
      </c>
      <c r="B12" s="37" t="inlineStr">
        <is>
          <t>Retention purge job</t>
        </is>
      </c>
      <c r="C12" s="37" t="inlineStr">
        <is>
          <t>Inspect job; dry run</t>
        </is>
      </c>
      <c r="D12" s="37" t="inlineStr">
        <is>
          <t>Configured per privacy policy</t>
        </is>
      </c>
      <c r="E12" s="36" t="inlineStr">
        <is>
          <t>05 s6</t>
        </is>
      </c>
      <c r="F12" s="36" t="inlineStr">
        <is>
          <t>M</t>
        </is>
      </c>
      <c r="G12" s="38" t="inlineStr">
        <is>
          <t>Blocked</t>
        </is>
      </c>
      <c r="H12" s="39" t="inlineStr">
        <is>
          <t>QA-Evidence/SR-11/</t>
        </is>
      </c>
      <c r="I12" s="39" t="inlineStr">
        <is>
          <t>Claude Code (automated pre-audit)</t>
        </is>
      </c>
      <c r="J12" s="38" t="inlineStr">
        <is>
          <t>2026-08-21</t>
        </is>
      </c>
      <c r="K12" s="39" t="inlineStr">
        <is>
          <t>Server-side scheduling unavailable pre-staging, BUT genuine open item recorded: grep over lib/app/scripts finds NO purge job code at all, and the retention period is still [TO CONFIRM: months] in docs/05 s6 and docs/08 s5. The job must be built and the months confirmed before launch — nothing exists to schedule even once the server does.</t>
        </is>
      </c>
    </row>
    <row r="13" ht="15" customHeight="1" s="23">
      <c r="A13" s="36" t="inlineStr">
        <is>
          <t>SR-12</t>
        </is>
      </c>
      <c r="B13" s="37" t="inlineStr">
        <is>
          <t>Admin audit log</t>
        </is>
      </c>
      <c r="C13" s="37" t="inlineStr">
        <is>
          <t>Perform an edit; view log</t>
        </is>
      </c>
      <c r="D13" s="37" t="inlineStr">
        <is>
          <t>User, action, time recorded</t>
        </is>
      </c>
      <c r="E13" s="36" t="inlineStr">
        <is>
          <t>05 s6</t>
        </is>
      </c>
      <c r="F13" s="36" t="inlineStr">
        <is>
          <t>Mn</t>
        </is>
      </c>
      <c r="G13" s="38" t="inlineStr">
        <is>
          <t>Blocked</t>
        </is>
      </c>
      <c r="H13" s="39" t="inlineStr">
        <is>
          <t>QA-Evidence/SR-12/</t>
        </is>
      </c>
      <c r="I13" s="39" t="inlineStr">
        <is>
          <t>Claude Code (automated pre-audit)</t>
        </is>
      </c>
      <c r="J13" s="38" t="inlineStr">
        <is>
          <t>2026-08-21</t>
        </is>
      </c>
      <c r="K13" s="39" t="inlineStr">
        <is>
          <t>Admin audit log attaches to the Payload admin (epic E2) which is not yet embedded; no admin actions exist to log. Pre-check: no audit-log implementation in code (expected at this phase).</t>
        </is>
      </c>
    </row>
    <row r="14" ht="15" customHeight="1" s="23">
      <c r="A14" s="36" t="inlineStr">
        <is>
          <t>SR-13</t>
        </is>
      </c>
      <c r="B14" s="37" t="inlineStr">
        <is>
          <t>Mail authentication</t>
        </is>
      </c>
      <c r="C14" s="37" t="inlineStr">
        <is>
          <t>mail-tester.com on ack mail</t>
        </is>
      </c>
      <c r="D14" s="37" t="inlineStr">
        <is>
          <t>Score at least 9; SPF, DKIM, DMARC pass</t>
        </is>
      </c>
      <c r="E14" s="36" t="inlineStr">
        <is>
          <t>08 s4</t>
        </is>
      </c>
      <c r="F14" s="36" t="inlineStr">
        <is>
          <t>M</t>
        </is>
      </c>
      <c r="G14" s="38" t="inlineStr">
        <is>
          <t>Blocked</t>
        </is>
      </c>
      <c r="H14" s="39" t="inlineStr">
        <is>
          <t>QA-Evidence/SR-13/</t>
        </is>
      </c>
      <c r="I14" s="39" t="inlineStr">
        <is>
          <t>Claude Code (automated pre-audit)</t>
        </is>
      </c>
      <c r="J14" s="38" t="inlineStr">
        <is>
          <t>2026-08-21</t>
        </is>
      </c>
      <c r="K14" s="39" t="inlineStr">
        <is>
          <t>No mailboxes, DNS zone or SMTP exist (docs/08 s5 SPF/DKIM/DMARC; spike S0 step 5 deliverability test). mail-tester unreachable and no sending domain exists. SMTP_* unset in this environment; mail fan-out queues to DATA_DIR/queue.</t>
        </is>
      </c>
    </row>
  </sheetData>
  <dataValidations count="1">
    <dataValidation sqref="G2:G14" showDropDown="0" showInputMessage="0" showErrorMessage="0" allowBlank="1" type="list" errorStyle="stop" operator="between">
      <formula1>"Pass,Fail,Blocked,N.A."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K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9" customWidth="1" style="22" min="1" max="1"/>
    <col width="30" customWidth="1" style="22" min="2" max="2"/>
    <col width="44" customWidth="1" style="22" min="3" max="3"/>
    <col width="38" customWidth="1" style="22" min="4" max="4"/>
    <col width="15" customWidth="1" style="22" min="5" max="5"/>
    <col width="6" customWidth="1" style="22" min="6" max="6"/>
    <col width="10" customWidth="1" style="22" min="7" max="7"/>
    <col width="22" customWidth="1" style="22" min="8" max="8"/>
    <col width="12" customWidth="1" style="22" min="9" max="9"/>
    <col width="11" customWidth="1" style="22" min="10" max="10"/>
    <col width="22" customWidth="1" style="22" min="11" max="11"/>
  </cols>
  <sheetData>
    <row r="1" ht="15" customHeight="1" s="23">
      <c r="A1" s="35" t="inlineStr">
        <is>
          <t>ID</t>
        </is>
      </c>
      <c r="B1" s="35" t="inlineStr">
        <is>
          <t>Test case</t>
        </is>
      </c>
      <c r="C1" s="35" t="inlineStr">
        <is>
          <t>Steps / method</t>
        </is>
      </c>
      <c r="D1" s="35" t="inlineStr">
        <is>
          <t>Expected result</t>
        </is>
      </c>
      <c r="E1" s="35" t="inlineStr">
        <is>
          <t>Ref</t>
        </is>
      </c>
      <c r="F1" s="35" t="inlineStr">
        <is>
          <t>Sev</t>
        </is>
      </c>
      <c r="G1" s="35" t="inlineStr">
        <is>
          <t>Result</t>
        </is>
      </c>
      <c r="H1" s="35" t="inlineStr">
        <is>
          <t>Evidence link</t>
        </is>
      </c>
      <c r="I1" s="35" t="inlineStr">
        <is>
          <t>Tester</t>
        </is>
      </c>
      <c r="J1" s="35" t="inlineStr">
        <is>
          <t>Date</t>
        </is>
      </c>
      <c r="K1" s="35" t="inlineStr">
        <is>
          <t>Notes</t>
        </is>
      </c>
    </row>
    <row r="2" ht="23.85" customHeight="1" s="23">
      <c r="A2" s="36" t="inlineStr">
        <is>
          <t>CM-01</t>
        </is>
      </c>
      <c r="B2" s="37" t="inlineStr">
        <is>
          <t>Journey on Chrome, Windows</t>
        </is>
      </c>
      <c r="C2" s="37" t="inlineStr">
        <is>
          <t>Browse Home, one service, the hub, then submit a TEST enquiry</t>
        </is>
      </c>
      <c r="D2" s="37" t="inlineStr">
        <is>
          <t>No layout breaks; journey completes; film or poster correct</t>
        </is>
      </c>
      <c r="E2" s="36" t="inlineStr">
        <is>
          <t>04, 01</t>
        </is>
      </c>
      <c r="F2" s="36" t="inlineStr">
        <is>
          <t>M</t>
        </is>
      </c>
      <c r="G2" s="38" t="inlineStr">
        <is>
          <t>Pass</t>
        </is>
      </c>
      <c r="H2" s="39" t="inlineStr">
        <is>
          <t>QA-Evidence/CM-01/</t>
        </is>
      </c>
      <c r="I2" s="39" t="inlineStr">
        <is>
          <t>Claude Code (automated pre-audit)</t>
        </is>
      </c>
      <c r="J2" s="38" t="inlineStr">
        <is>
          <t>2026-08-21</t>
        </is>
      </c>
      <c r="K2" s="39" t="inlineStr">
        <is>
          <t>Chromium 1280x800 (XFF 10.4.2.1): Home &gt; Services dropdown &gt; Government &amp; Diplomatic Delegations &gt; header Davos Week hub &gt; Start an enquiry &gt; general segment submitted (HTTP 200, SKH-20260821-0024). scrollWidth==innerWidth (1280) at all 7 checkpoints, no layout breaks in screenshots. Note: desktop Chrome emulated via bundled Chromium, not branded Chrome.</t>
        </is>
      </c>
    </row>
    <row r="3" ht="23.85" customHeight="1" s="23">
      <c r="A3" s="36" t="inlineStr">
        <is>
          <t>CM-02</t>
        </is>
      </c>
      <c r="B3" s="37" t="inlineStr">
        <is>
          <t>Journey on Edge, Windows</t>
        </is>
      </c>
      <c r="C3" s="37" t="inlineStr">
        <is>
          <t>Browse Home, one service, the hub, then submit a TEST enquiry</t>
        </is>
      </c>
      <c r="D3" s="37" t="inlineStr">
        <is>
          <t>No layout breaks; journey completes; film or poster correct</t>
        </is>
      </c>
      <c r="E3" s="36" t="inlineStr">
        <is>
          <t>04, 01</t>
        </is>
      </c>
      <c r="F3" s="36" t="inlineStr">
        <is>
          <t>Mn</t>
        </is>
      </c>
      <c r="G3" s="38" t="inlineStr">
        <is>
          <t>Blocked</t>
        </is>
      </c>
      <c r="H3" s="39" t="inlineStr">
        <is>
          <t>QA-Evidence/CM-02/</t>
        </is>
      </c>
      <c r="I3" s="39" t="inlineStr">
        <is>
          <t>Claude Code (automated pre-audit)</t>
        </is>
      </c>
      <c r="J3" s="38" t="inlineStr">
        <is>
          <t>2026-08-21</t>
        </is>
      </c>
      <c r="K3" s="39" t="inlineStr">
        <is>
          <t>Edge unavailable (Chromium only in container, no SaaS device cloud). Chromium/Blink coverage by agent 4 makes Edge risk low but unverified.</t>
        </is>
      </c>
    </row>
    <row r="4" ht="23.85" customHeight="1" s="23">
      <c r="A4" s="36" t="inlineStr">
        <is>
          <t>CM-03</t>
        </is>
      </c>
      <c r="B4" s="37" t="inlineStr">
        <is>
          <t>Journey on Firefox, Windows</t>
        </is>
      </c>
      <c r="C4" s="37" t="inlineStr">
        <is>
          <t>Browse Home, one service, the hub, then submit a TEST enquiry</t>
        </is>
      </c>
      <c r="D4" s="37" t="inlineStr">
        <is>
          <t>No layout breaks; journey completes; film or poster correct</t>
        </is>
      </c>
      <c r="E4" s="36" t="inlineStr">
        <is>
          <t>04, 01</t>
        </is>
      </c>
      <c r="F4" s="36" t="inlineStr">
        <is>
          <t>Mn</t>
        </is>
      </c>
      <c r="G4" s="38" t="inlineStr">
        <is>
          <t>Blocked</t>
        </is>
      </c>
      <c r="H4" s="39" t="inlineStr">
        <is>
          <t>QA-Evidence/CM-03/</t>
        </is>
      </c>
      <c r="I4" s="39" t="inlineStr">
        <is>
          <t>Claude Code (automated pre-audit)</t>
        </is>
      </c>
      <c r="J4" s="38" t="inlineStr">
        <is>
          <t>2026-08-21</t>
        </is>
      </c>
      <c r="K4" s="39" t="inlineStr">
        <is>
          <t>Firefox/Gecko unavailable; genuinely untested engine. Chromium coverage by agent 4 noted; run on real Firefox before launch.</t>
        </is>
      </c>
    </row>
    <row r="5" ht="23.85" customHeight="1" s="23">
      <c r="A5" s="36" t="inlineStr">
        <is>
          <t>CM-04</t>
        </is>
      </c>
      <c r="B5" s="37" t="inlineStr">
        <is>
          <t>Journey on Safari, macOS</t>
        </is>
      </c>
      <c r="C5" s="37" t="inlineStr">
        <is>
          <t>Browse Home, one service, the hub, then submit a TEST enquiry</t>
        </is>
      </c>
      <c r="D5" s="37" t="inlineStr">
        <is>
          <t>No layout breaks; journey completes; film or poster correct</t>
        </is>
      </c>
      <c r="E5" s="36" t="inlineStr">
        <is>
          <t>04, 01</t>
        </is>
      </c>
      <c r="F5" s="36" t="inlineStr">
        <is>
          <t>M</t>
        </is>
      </c>
      <c r="G5" s="38" t="inlineStr">
        <is>
          <t>Blocked</t>
        </is>
      </c>
      <c r="H5" s="39" t="inlineStr">
        <is>
          <t>QA-Evidence/CM-04/</t>
        </is>
      </c>
      <c r="I5" s="39" t="inlineStr">
        <is>
          <t>Claude Code (automated pre-audit)</t>
        </is>
      </c>
      <c r="J5" s="38" t="inlineStr">
        <is>
          <t>2026-08-21</t>
        </is>
      </c>
      <c r="K5" s="39" t="inlineStr">
        <is>
          <t>Safari macOS/WebKit unavailable; genuinely untested engine. Chromium coverage by agent 4 noted.</t>
        </is>
      </c>
    </row>
    <row r="6" ht="23.85" customHeight="1" s="23">
      <c r="A6" s="36" t="inlineStr">
        <is>
          <t>CM-05</t>
        </is>
      </c>
      <c r="B6" s="37" t="inlineStr">
        <is>
          <t>Journey on Safari, iPhone (iOS current)</t>
        </is>
      </c>
      <c r="C6" s="37" t="inlineStr">
        <is>
          <t>Browse Home, one service, the hub, then submit a TEST enquiry</t>
        </is>
      </c>
      <c r="D6" s="37" t="inlineStr">
        <is>
          <t>No layout breaks; journey completes; film or poster correct</t>
        </is>
      </c>
      <c r="E6" s="36" t="inlineStr">
        <is>
          <t>04, 01</t>
        </is>
      </c>
      <c r="F6" s="36" t="inlineStr">
        <is>
          <t>C</t>
        </is>
      </c>
      <c r="G6" s="38" t="inlineStr">
        <is>
          <t>Blocked</t>
        </is>
      </c>
      <c r="H6" s="39" t="inlineStr">
        <is>
          <t>QA-Evidence/CM-05/</t>
        </is>
      </c>
      <c r="I6" s="39" t="inlineStr">
        <is>
          <t>Claude Code (automated pre-audit)</t>
        </is>
      </c>
      <c r="J6" s="38" t="inlineStr">
        <is>
          <t>2026-08-21</t>
        </is>
      </c>
      <c r="K6" s="39" t="inlineStr">
        <is>
          <t>iOS Safari unavailable (no devices/simulators/SaaS). Critical launch gate for the delegation audience — must run on real iPhone before launch. Chromium mobile-viewport coverage by agent 4 is not an engine substitute.</t>
        </is>
      </c>
    </row>
    <row r="7" ht="23.85" customHeight="1" s="23">
      <c r="A7" s="36" t="inlineStr">
        <is>
          <t>CM-06</t>
        </is>
      </c>
      <c r="B7" s="37" t="inlineStr">
        <is>
          <t>Journey on Chrome, mid-range Android</t>
        </is>
      </c>
      <c r="C7" s="37" t="inlineStr">
        <is>
          <t>Browse Home, one service, the hub, then submit a TEST enquiry</t>
        </is>
      </c>
      <c r="D7" s="37" t="inlineStr">
        <is>
          <t>No layout breaks; journey completes; film or poster correct</t>
        </is>
      </c>
      <c r="E7" s="36" t="inlineStr">
        <is>
          <t>04, 01</t>
        </is>
      </c>
      <c r="F7" s="36" t="inlineStr">
        <is>
          <t>C</t>
        </is>
      </c>
      <c r="G7" s="38" t="inlineStr">
        <is>
          <t>Pass</t>
        </is>
      </c>
      <c r="H7" s="39" t="inlineStr">
        <is>
          <t>QA-Evidence/CM-06/</t>
        </is>
      </c>
      <c r="I7" s="39" t="inlineStr">
        <is>
          <t>Claude Code (automated pre-audit)</t>
        </is>
      </c>
      <c r="J7" s="38" t="inlineStr">
        <is>
          <t>2026-08-21</t>
        </is>
      </c>
      <c r="K7" s="39" t="inlineStr">
        <is>
          <t>Pixel-class emulation: 393x851, Android mobile UA, isMobile+hasTouch, DPR 2.75 (XFF 10.4.6.1). Journey completed via hamburger mobile menu (nav aria-label='Mobile') for every hop incl. 'Start an enquiry' CTA; submission SKH-20260821-0025; no horizontal overflow at any of 7 checkpoints. Deviation per env facts: Chromium device emulation, not a real Android device.</t>
        </is>
      </c>
    </row>
    <row r="8" ht="23.85" customHeight="1" s="23">
      <c r="A8" s="36" t="inlineStr">
        <is>
          <t>CM-07</t>
        </is>
      </c>
      <c r="B8" s="37" t="inlineStr">
        <is>
          <t>Journey on Safari, iPad</t>
        </is>
      </c>
      <c r="C8" s="37" t="inlineStr">
        <is>
          <t>Browse Home, one service, the hub, then submit a TEST enquiry</t>
        </is>
      </c>
      <c r="D8" s="37" t="inlineStr">
        <is>
          <t>No layout breaks; journey completes; film or poster correct</t>
        </is>
      </c>
      <c r="E8" s="36" t="inlineStr">
        <is>
          <t>04, 01</t>
        </is>
      </c>
      <c r="F8" s="36" t="inlineStr">
        <is>
          <t>M</t>
        </is>
      </c>
      <c r="G8" s="38" t="inlineStr">
        <is>
          <t>Blocked</t>
        </is>
      </c>
      <c r="H8" s="39" t="inlineStr">
        <is>
          <t>QA-Evidence/CM-07/</t>
        </is>
      </c>
      <c r="I8" s="39" t="inlineStr">
        <is>
          <t>Claude Code (automated pre-audit)</t>
        </is>
      </c>
      <c r="J8" s="38" t="inlineStr">
        <is>
          <t>2026-08-21</t>
        </is>
      </c>
      <c r="K8" s="39" t="inlineStr">
        <is>
          <t>iPad Safari unavailable; same constraint as CM-05.</t>
        </is>
      </c>
    </row>
    <row r="9" ht="23.85" customHeight="1" s="23">
      <c r="A9" s="36" t="inlineStr">
        <is>
          <t>CM-08</t>
        </is>
      </c>
      <c r="B9" s="37" t="inlineStr">
        <is>
          <t>Journey on 360 px width</t>
        </is>
      </c>
      <c r="C9" s="37" t="inlineStr">
        <is>
          <t>Browse Home, one service, the hub, then submit a TEST enquiry</t>
        </is>
      </c>
      <c r="D9" s="37" t="inlineStr">
        <is>
          <t>No layout breaks; journey completes; film or poster correct</t>
        </is>
      </c>
      <c r="E9" s="36" t="inlineStr">
        <is>
          <t>04, 01</t>
        </is>
      </c>
      <c r="F9" s="36" t="inlineStr">
        <is>
          <t>M</t>
        </is>
      </c>
      <c r="G9" s="38" t="inlineStr">
        <is>
          <t>Pass</t>
        </is>
      </c>
      <c r="H9" s="39" t="inlineStr">
        <is>
          <t>QA-Evidence/CM-08/</t>
        </is>
      </c>
      <c r="I9" s="39" t="inlineStr">
        <is>
          <t>Claude Code (automated pre-audit)</t>
        </is>
      </c>
      <c r="J9" s="38" t="inlineStr">
        <is>
          <t>2026-08-21</t>
        </is>
      </c>
      <c r="K9" s="39" t="inlineStr">
        <is>
          <t>360x740 mobile emulation (XFF 10.4.8.1): full journey via mobile menu completed, submission SKH-20260821-0026. document.scrollingElement.scrollWidth == innerWidth (360) at all 7 checkpoints - no horizontal overflow; menu usable (screenshot 02-menu-open).</t>
        </is>
      </c>
    </row>
    <row r="10" ht="23.85" customHeight="1" s="23">
      <c r="A10" s="36" t="inlineStr">
        <is>
          <t>CM-09</t>
        </is>
      </c>
      <c r="B10" s="37" t="inlineStr">
        <is>
          <t>Journey on 768 px width</t>
        </is>
      </c>
      <c r="C10" s="37" t="inlineStr">
        <is>
          <t>Browse Home, one service, the hub, then submit a TEST enquiry</t>
        </is>
      </c>
      <c r="D10" s="37" t="inlineStr">
        <is>
          <t>No layout breaks; journey completes; film or poster correct</t>
        </is>
      </c>
      <c r="E10" s="36" t="inlineStr">
        <is>
          <t>04, 01</t>
        </is>
      </c>
      <c r="F10" s="36" t="inlineStr">
        <is>
          <t>Mn</t>
        </is>
      </c>
      <c r="G10" s="38" t="inlineStr">
        <is>
          <t>Pass</t>
        </is>
      </c>
      <c r="H10" s="39" t="inlineStr">
        <is>
          <t>QA-Evidence/CM-09/</t>
        </is>
      </c>
      <c r="I10" s="39" t="inlineStr">
        <is>
          <t>Claude Code (automated pre-audit)</t>
        </is>
      </c>
      <c r="J10" s="38" t="inlineStr">
        <is>
          <t>2026-08-21</t>
        </is>
      </c>
      <c r="K10" s="39" t="inlineStr">
        <is>
          <t>768x1024 (XFF 10.4.9.1): journey completed, submission SKH-20260821-0027; scrollWidth==768 at all 7 checkpoints. At 768px the header uses the hamburger menu (desktop nav appears at lg/1024) - menu usable.</t>
        </is>
      </c>
    </row>
    <row r="11" ht="23.85" customHeight="1" s="23">
      <c r="A11" s="36" t="inlineStr">
        <is>
          <t>CM-10</t>
        </is>
      </c>
      <c r="B11" s="37" t="inlineStr">
        <is>
          <t>Journey on 1440 px width</t>
        </is>
      </c>
      <c r="C11" s="37" t="inlineStr">
        <is>
          <t>Browse Home, one service, the hub, then submit a TEST enquiry</t>
        </is>
      </c>
      <c r="D11" s="37" t="inlineStr">
        <is>
          <t>No layout breaks; journey completes; film or poster correct</t>
        </is>
      </c>
      <c r="E11" s="36" t="inlineStr">
        <is>
          <t>04, 01</t>
        </is>
      </c>
      <c r="F11" s="36" t="inlineStr">
        <is>
          <t>Mn</t>
        </is>
      </c>
      <c r="G11" s="38" t="inlineStr">
        <is>
          <t>Pass</t>
        </is>
      </c>
      <c r="H11" s="39" t="inlineStr">
        <is>
          <t>QA-Evidence/CM-10/</t>
        </is>
      </c>
      <c r="I11" s="39" t="inlineStr">
        <is>
          <t>Claude Code (automated pre-audit)</t>
        </is>
      </c>
      <c r="J11" s="38" t="inlineStr">
        <is>
          <t>2026-08-21</t>
        </is>
      </c>
      <c r="K11" s="39" t="inlineStr">
        <is>
          <t>1440x900 (XFF 10.4.10.1): journey via desktop Services dropdown completed, submission SKH-20260821-0028; scrollWidth==1440 at all 7 checkpoints; no layout breaks.</t>
        </is>
      </c>
    </row>
  </sheetData>
  <dataValidations count="1">
    <dataValidation sqref="G2:G11" showDropDown="0" showInputMessage="0" showErrorMessage="0" allowBlank="1" type="list" errorStyle="stop" operator="between">
      <formula1>"Pass,Fail,Blocked,N.A."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A1:K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9" customWidth="1" style="22" min="1" max="1"/>
    <col width="30" customWidth="1" style="22" min="2" max="2"/>
    <col width="44" customWidth="1" style="22" min="3" max="3"/>
    <col width="38" customWidth="1" style="22" min="4" max="4"/>
    <col width="15" customWidth="1" style="22" min="5" max="5"/>
    <col width="6" customWidth="1" style="22" min="6" max="6"/>
    <col width="10" customWidth="1" style="22" min="7" max="7"/>
    <col width="22" customWidth="1" style="22" min="8" max="8"/>
    <col width="12" customWidth="1" style="22" min="9" max="9"/>
    <col width="11" customWidth="1" style="22" min="10" max="10"/>
    <col width="22" customWidth="1" style="22" min="11" max="11"/>
  </cols>
  <sheetData>
    <row r="1" ht="15" customHeight="1" s="23">
      <c r="A1" s="35" t="inlineStr">
        <is>
          <t>ID</t>
        </is>
      </c>
      <c r="B1" s="35" t="inlineStr">
        <is>
          <t>Test case</t>
        </is>
      </c>
      <c r="C1" s="35" t="inlineStr">
        <is>
          <t>Steps / method</t>
        </is>
      </c>
      <c r="D1" s="35" t="inlineStr">
        <is>
          <t>Expected result</t>
        </is>
      </c>
      <c r="E1" s="35" t="inlineStr">
        <is>
          <t>Ref</t>
        </is>
      </c>
      <c r="F1" s="35" t="inlineStr">
        <is>
          <t>Sev</t>
        </is>
      </c>
      <c r="G1" s="35" t="inlineStr">
        <is>
          <t>Result</t>
        </is>
      </c>
      <c r="H1" s="35" t="inlineStr">
        <is>
          <t>Evidence link</t>
        </is>
      </c>
      <c r="I1" s="35" t="inlineStr">
        <is>
          <t>Tester</t>
        </is>
      </c>
      <c r="J1" s="35" t="inlineStr">
        <is>
          <t>Date</t>
        </is>
      </c>
      <c r="K1" s="35" t="inlineStr">
        <is>
          <t>Notes</t>
        </is>
      </c>
    </row>
    <row r="2" ht="23.85" customHeight="1" s="23">
      <c r="A2" s="36" t="inlineStr">
        <is>
          <t>CE-01</t>
        </is>
      </c>
      <c r="B2" s="37" t="inlineStr">
        <is>
          <t>Edit and publish hero line</t>
        </is>
      </c>
      <c r="C2" s="37" t="inlineStr">
        <is>
          <t>Ms. Revathi, unaided, edits Home hero subline and publishes</t>
        </is>
      </c>
      <c r="D2" s="37" t="inlineStr">
        <is>
          <t>Live within minutes, no developer help</t>
        </is>
      </c>
      <c r="E2" s="36" t="inlineStr">
        <is>
          <t>01 s4</t>
        </is>
      </c>
      <c r="F2" s="36" t="inlineStr">
        <is>
          <t>M</t>
        </is>
      </c>
      <c r="G2" s="38" t="inlineStr">
        <is>
          <t>Blocked</t>
        </is>
      </c>
      <c r="H2" s="39" t="inlineStr">
        <is>
          <t>QA-Evidence/CE-ALL/</t>
        </is>
      </c>
      <c r="I2" s="39" t="inlineStr">
        <is>
          <t>Claude Code (automated pre-audit)</t>
        </is>
      </c>
      <c r="J2" s="38" t="inlineStr">
        <is>
          <t>2026-08-21</t>
        </is>
      </c>
      <c r="K2" s="39" t="inlineStr">
        <is>
          <t>Payload CMS not yet embedded (epic E2 open, docs/07 T0.3/T2.x); no admin surface exists to exercise. See QA-Evidence/CE-ALL/.</t>
        </is>
      </c>
    </row>
    <row r="3" ht="15" customHeight="1" s="23">
      <c r="A3" s="36" t="inlineStr">
        <is>
          <t>CE-02</t>
        </is>
      </c>
      <c r="B3" s="37" t="inlineStr">
        <is>
          <t>Create article from brief 3</t>
        </is>
      </c>
      <c r="C3" s="37" t="inlineStr">
        <is>
          <t>Build the visas article from docs/02.06 outline</t>
        </is>
      </c>
      <c r="D3" s="37" t="inlineStr">
        <is>
          <t>Published with meta, image, alt</t>
        </is>
      </c>
      <c r="E3" s="36" t="inlineStr">
        <is>
          <t>01 s4</t>
        </is>
      </c>
      <c r="F3" s="36" t="inlineStr">
        <is>
          <t>M</t>
        </is>
      </c>
      <c r="G3" s="38" t="inlineStr">
        <is>
          <t>Blocked</t>
        </is>
      </c>
      <c r="H3" s="39" t="inlineStr">
        <is>
          <t>QA-Evidence/CE-ALL/</t>
        </is>
      </c>
      <c r="I3" s="39" t="inlineStr">
        <is>
          <t>Claude Code (automated pre-audit)</t>
        </is>
      </c>
      <c r="J3" s="38" t="inlineStr">
        <is>
          <t>2026-08-21</t>
        </is>
      </c>
      <c r="K3" s="39" t="inlineStr">
        <is>
          <t>Payload CMS not yet embedded (epic E2 open, docs/07 T0.3/T2.x); no admin surface exists to exercise. See QA-Evidence/CE-ALL/.</t>
        </is>
      </c>
    </row>
    <row r="4" ht="15" customHeight="1" s="23">
      <c r="A4" s="36" t="inlineStr">
        <is>
          <t>CE-03</t>
        </is>
      </c>
      <c r="B4" s="37" t="inlineStr">
        <is>
          <t>Alt enforcement</t>
        </is>
      </c>
      <c r="C4" s="37" t="inlineStr">
        <is>
          <t>Attempt image upload without alt</t>
        </is>
      </c>
      <c r="D4" s="37" t="inlineStr">
        <is>
          <t>Blocked by validation</t>
        </is>
      </c>
      <c r="E4" s="36" t="inlineStr">
        <is>
          <t>05 s4</t>
        </is>
      </c>
      <c r="F4" s="36" t="inlineStr">
        <is>
          <t>M</t>
        </is>
      </c>
      <c r="G4" s="38" t="inlineStr">
        <is>
          <t>Blocked</t>
        </is>
      </c>
      <c r="H4" s="39" t="inlineStr">
        <is>
          <t>QA-Evidence/CE-ALL/</t>
        </is>
      </c>
      <c r="I4" s="39" t="inlineStr">
        <is>
          <t>Claude Code (automated pre-audit)</t>
        </is>
      </c>
      <c r="J4" s="38" t="inlineStr">
        <is>
          <t>2026-08-21</t>
        </is>
      </c>
      <c r="K4" s="39" t="inlineStr">
        <is>
          <t>Payload CMS not yet embedded (epic E2 open, docs/07 T0.3/T2.x); no admin surface exists to exercise. See QA-Evidence/CE-ALL/. Alt-required validation is a Payload field rule (T2.1), not yet built.</t>
        </is>
      </c>
    </row>
    <row r="5" ht="15" customHeight="1" s="23">
      <c r="A5" s="36" t="inlineStr">
        <is>
          <t>CE-04</t>
        </is>
      </c>
      <c r="B5" s="37" t="inlineStr">
        <is>
          <t>Reorder work listing</t>
        </is>
      </c>
      <c r="C5" s="37" t="inlineStr">
        <is>
          <t>Change case study order</t>
        </is>
      </c>
      <c r="D5" s="37" t="inlineStr">
        <is>
          <t>Reflected on site</t>
        </is>
      </c>
      <c r="E5" s="36" t="inlineStr">
        <is>
          <t>01 s4</t>
        </is>
      </c>
      <c r="F5" s="36" t="inlineStr">
        <is>
          <t>Mn</t>
        </is>
      </c>
      <c r="G5" s="38" t="inlineStr">
        <is>
          <t>Blocked</t>
        </is>
      </c>
      <c r="H5" s="39" t="inlineStr">
        <is>
          <t>QA-Evidence/CE-ALL/</t>
        </is>
      </c>
      <c r="I5" s="39" t="inlineStr">
        <is>
          <t>Claude Code (automated pre-audit)</t>
        </is>
      </c>
      <c r="J5" s="38" t="inlineStr">
        <is>
          <t>2026-08-21</t>
        </is>
      </c>
      <c r="K5" s="39" t="inlineStr">
        <is>
          <t>Payload CMS not yet embedded (epic E2 open, docs/07 T0.3/T2.x); no admin surface exists to exercise. See QA-Evidence/CE-ALL/.</t>
        </is>
      </c>
    </row>
    <row r="6" ht="15" customHeight="1" s="23">
      <c r="A6" s="36" t="inlineStr">
        <is>
          <t>CE-05</t>
        </is>
      </c>
      <c r="B6" s="37" t="inlineStr">
        <is>
          <t>Update MICE bands</t>
        </is>
      </c>
      <c r="C6" s="37" t="inlineStr">
        <is>
          <t>Edit a band value</t>
        </is>
      </c>
      <c r="D6" s="37" t="inlineStr">
        <is>
          <t>Table updates</t>
        </is>
      </c>
      <c r="E6" s="36" t="inlineStr">
        <is>
          <t>02.02 C</t>
        </is>
      </c>
      <c r="F6" s="36" t="inlineStr">
        <is>
          <t>Mn</t>
        </is>
      </c>
      <c r="G6" s="38" t="inlineStr">
        <is>
          <t>Blocked</t>
        </is>
      </c>
      <c r="H6" s="39" t="inlineStr">
        <is>
          <t>QA-Evidence/CE-ALL/</t>
        </is>
      </c>
      <c r="I6" s="39" t="inlineStr">
        <is>
          <t>Claude Code (automated pre-audit)</t>
        </is>
      </c>
      <c r="J6" s="38" t="inlineStr">
        <is>
          <t>2026-08-21</t>
        </is>
      </c>
      <c r="K6" s="39" t="inlineStr">
        <is>
          <t>Payload CMS not yet embedded (epic E2 open, docs/07 T0.3/T2.x); no admin surface exists to exercise. See QA-Evidence/CE-ALL/. Bands currently render from the typed content layer (CC-11 Pass).</t>
        </is>
      </c>
    </row>
    <row r="7" ht="15" customHeight="1" s="23">
      <c r="A7" s="36" t="inlineStr">
        <is>
          <t>CE-06</t>
        </is>
      </c>
      <c r="B7" s="37" t="inlineStr">
        <is>
          <t>Edit an FAQ</t>
        </is>
      </c>
      <c r="C7" s="37" t="inlineStr">
        <is>
          <t>Change one hub FAQ</t>
        </is>
      </c>
      <c r="D7" s="37" t="inlineStr">
        <is>
          <t>Page and schema update</t>
        </is>
      </c>
      <c r="E7" s="36" t="inlineStr">
        <is>
          <t>06 s3</t>
        </is>
      </c>
      <c r="F7" s="36" t="inlineStr">
        <is>
          <t>Mn</t>
        </is>
      </c>
      <c r="G7" s="38" t="inlineStr">
        <is>
          <t>Blocked</t>
        </is>
      </c>
      <c r="H7" s="39" t="inlineStr">
        <is>
          <t>QA-Evidence/CE-ALL/</t>
        </is>
      </c>
      <c r="I7" s="39" t="inlineStr">
        <is>
          <t>Claude Code (automated pre-audit)</t>
        </is>
      </c>
      <c r="J7" s="38" t="inlineStr">
        <is>
          <t>2026-08-21</t>
        </is>
      </c>
      <c r="K7" s="39" t="inlineStr">
        <is>
          <t>Payload CMS not yet embedded (epic E2 open, docs/07 T0.3/T2.x); no admin surface exists to exercise. See QA-Evidence/CE-ALL/.</t>
        </is>
      </c>
    </row>
    <row r="8" ht="15" customHeight="1" s="23">
      <c r="A8" s="36" t="inlineStr">
        <is>
          <t>CE-07</t>
        </is>
      </c>
      <c r="B8" s="37" t="inlineStr">
        <is>
          <t>Change a meta title</t>
        </is>
      </c>
      <c r="C8" s="37" t="inlineStr">
        <is>
          <t>Edit one page's metaTitle</t>
        </is>
      </c>
      <c r="D8" s="37" t="inlineStr">
        <is>
          <t>Rendered and within limits</t>
        </is>
      </c>
      <c r="E8" s="36" t="inlineStr">
        <is>
          <t>06 s2</t>
        </is>
      </c>
      <c r="F8" s="36" t="inlineStr">
        <is>
          <t>Mn</t>
        </is>
      </c>
      <c r="G8" s="38" t="inlineStr">
        <is>
          <t>Blocked</t>
        </is>
      </c>
      <c r="H8" s="39" t="inlineStr">
        <is>
          <t>QA-Evidence/CE-ALL/</t>
        </is>
      </c>
      <c r="I8" s="39" t="inlineStr">
        <is>
          <t>Claude Code (automated pre-audit)</t>
        </is>
      </c>
      <c r="J8" s="38" t="inlineStr">
        <is>
          <t>2026-08-21</t>
        </is>
      </c>
      <c r="K8" s="39" t="inlineStr">
        <is>
          <t>Payload CMS not yet embedded (epic E2 open, docs/07 T0.3/T2.x); no admin surface exists to exercise. See QA-Evidence/CE-ALL/.</t>
        </is>
      </c>
    </row>
    <row r="9" ht="15" customHeight="1" s="23">
      <c r="A9" s="36" t="inlineStr">
        <is>
          <t>CE-08</t>
        </is>
      </c>
      <c r="B9" s="37" t="inlineStr">
        <is>
          <t>Toggle notice bar</t>
        </is>
      </c>
      <c r="C9" s="37" t="inlineStr">
        <is>
          <t>Enable C29 with a message; disable</t>
        </is>
      </c>
      <c r="D9" s="37" t="inlineStr">
        <is>
          <t>Appears and disappears</t>
        </is>
      </c>
      <c r="E9" s="36" t="inlineStr">
        <is>
          <t>04 C29</t>
        </is>
      </c>
      <c r="F9" s="36" t="inlineStr">
        <is>
          <t>Mn</t>
        </is>
      </c>
      <c r="G9" s="38" t="inlineStr">
        <is>
          <t>Blocked</t>
        </is>
      </c>
      <c r="H9" s="39" t="inlineStr">
        <is>
          <t>QA-Evidence/CE-ALL/</t>
        </is>
      </c>
      <c r="I9" s="39" t="inlineStr">
        <is>
          <t>Claude Code (automated pre-audit)</t>
        </is>
      </c>
      <c r="J9" s="38" t="inlineStr">
        <is>
          <t>2026-08-21</t>
        </is>
      </c>
      <c r="K9" s="39" t="inlineStr">
        <is>
          <t>Payload CMS not yet embedded (epic E2 open, docs/07 T0.3/T2.x); no admin surface exists to exercise. See QA-Evidence/CE-ALL/. C29 NoticeBar component also missing (CA-05).</t>
        </is>
      </c>
    </row>
    <row r="10" ht="15" customHeight="1" s="23">
      <c r="A10" s="36" t="inlineStr">
        <is>
          <t>CE-09</t>
        </is>
      </c>
      <c r="B10" s="37" t="inlineStr">
        <is>
          <t>Role boundary</t>
        </is>
      </c>
      <c r="C10" s="37" t="inlineStr">
        <is>
          <t>Editor attempts seoDefaults global</t>
        </is>
      </c>
      <c r="D10" s="37" t="inlineStr">
        <is>
          <t>Blocked by role</t>
        </is>
      </c>
      <c r="E10" s="36" t="inlineStr">
        <is>
          <t>05 s4</t>
        </is>
      </c>
      <c r="F10" s="36" t="inlineStr">
        <is>
          <t>M</t>
        </is>
      </c>
      <c r="G10" s="38" t="inlineStr">
        <is>
          <t>Blocked</t>
        </is>
      </c>
      <c r="H10" s="39" t="inlineStr">
        <is>
          <t>QA-Evidence/CE-ALL/</t>
        </is>
      </c>
      <c r="I10" s="39" t="inlineStr">
        <is>
          <t>Claude Code (automated pre-audit)</t>
        </is>
      </c>
      <c r="J10" s="38" t="inlineStr">
        <is>
          <t>2026-08-21</t>
        </is>
      </c>
      <c r="K10" s="39" t="inlineStr">
        <is>
          <t>Payload CMS not yet embedded (epic E2 open, docs/07 T0.3/T2.x); no admin surface exists to exercise. See QA-Evidence/CE-ALL/. Editor role boundary (T2.5) not yet built.</t>
        </is>
      </c>
    </row>
    <row r="11" ht="15" customHeight="1" s="23">
      <c r="A11" s="36" t="inlineStr">
        <is>
          <t>CE-10</t>
        </is>
      </c>
      <c r="B11" s="37" t="inlineStr">
        <is>
          <t>Run the export</t>
        </is>
      </c>
      <c r="C11" s="37" t="inlineStr">
        <is>
          <t>Follow the documented export procedure</t>
        </is>
      </c>
      <c r="D11" s="37" t="inlineStr">
        <is>
          <t>Archive produced without developer help</t>
        </is>
      </c>
      <c r="E11" s="36" t="inlineStr">
        <is>
          <t>SoW 9.2</t>
        </is>
      </c>
      <c r="F11" s="36" t="inlineStr">
        <is>
          <t>C</t>
        </is>
      </c>
      <c r="G11" s="38" t="inlineStr">
        <is>
          <t>Blocked</t>
        </is>
      </c>
      <c r="H11" s="39" t="inlineStr">
        <is>
          <t>QA-Evidence/CE-ALL/</t>
        </is>
      </c>
      <c r="I11" s="39" t="inlineStr">
        <is>
          <t>Claude Code (automated pre-audit)</t>
        </is>
      </c>
      <c r="J11" s="38" t="inlineStr">
        <is>
          <t>2026-08-21</t>
        </is>
      </c>
      <c r="K11" s="39" t="inlineStr">
        <is>
          <t>Blocked on the editorial-independence condition (Ms. Revathi unaided, post-training). The export procedure itself was proven under CA-12, where a completeness defect was found (stale davos-wef import). See QA-Evidence/CE-ALL/ and QA-Evidence/CA-12/.</t>
        </is>
      </c>
    </row>
  </sheetData>
  <dataValidations count="1">
    <dataValidation sqref="G2:G11" showDropDown="0" showInputMessage="0" showErrorMessage="0" allowBlank="1" type="list" errorStyle="stop" operator="between">
      <formula1>"Pass,Fail,Blocked,N.A."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A1:K10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9" customWidth="1" style="22" min="1" max="1"/>
    <col width="30" customWidth="1" style="22" min="2" max="2"/>
    <col width="44" customWidth="1" style="22" min="3" max="3"/>
    <col width="38" customWidth="1" style="22" min="4" max="4"/>
    <col width="15" customWidth="1" style="22" min="5" max="5"/>
    <col width="6" customWidth="1" style="22" min="6" max="6"/>
    <col width="10" customWidth="1" style="22" min="7" max="7"/>
    <col width="22" customWidth="1" style="22" min="8" max="8"/>
    <col width="12" customWidth="1" style="22" min="9" max="9"/>
    <col width="11" customWidth="1" style="22" min="10" max="10"/>
    <col width="22" customWidth="1" style="22" min="11" max="11"/>
  </cols>
  <sheetData>
    <row r="1" ht="15" customHeight="1" s="23">
      <c r="A1" s="35" t="inlineStr">
        <is>
          <t>ID</t>
        </is>
      </c>
      <c r="B1" s="35" t="inlineStr">
        <is>
          <t>Test case</t>
        </is>
      </c>
      <c r="C1" s="35" t="inlineStr">
        <is>
          <t>Steps / method</t>
        </is>
      </c>
      <c r="D1" s="35" t="inlineStr">
        <is>
          <t>Expected result</t>
        </is>
      </c>
      <c r="E1" s="35" t="inlineStr">
        <is>
          <t>Ref</t>
        </is>
      </c>
      <c r="F1" s="35" t="inlineStr">
        <is>
          <t>Sev</t>
        </is>
      </c>
      <c r="G1" s="35" t="inlineStr">
        <is>
          <t>Result</t>
        </is>
      </c>
      <c r="H1" s="35" t="inlineStr">
        <is>
          <t>Evidence link</t>
        </is>
      </c>
      <c r="I1" s="35" t="inlineStr">
        <is>
          <t>Tester</t>
        </is>
      </c>
      <c r="J1" s="35" t="inlineStr">
        <is>
          <t>Date</t>
        </is>
      </c>
      <c r="K1" s="35" t="inlineStr">
        <is>
          <t>Notes</t>
        </is>
      </c>
    </row>
    <row r="2" ht="15" customHeight="1" s="23">
      <c r="A2" s="36" t="inlineStr">
        <is>
          <t>DO-01</t>
        </is>
      </c>
      <c r="B2" s="37" t="inlineStr">
        <is>
          <t>CI gate blocks bad PR</t>
        </is>
      </c>
      <c r="C2" s="37" t="inlineStr">
        <is>
          <t>Open a PR with a seeded lint or test failure</t>
        </is>
      </c>
      <c r="D2" s="37" t="inlineStr">
        <is>
          <t>Merge blocked until fixed</t>
        </is>
      </c>
      <c r="E2" s="36" t="inlineStr">
        <is>
          <t>08 s6</t>
        </is>
      </c>
      <c r="F2" s="36" t="inlineStr">
        <is>
          <t>C</t>
        </is>
      </c>
      <c r="G2" s="38" t="inlineStr">
        <is>
          <t>Blocked</t>
        </is>
      </c>
      <c r="H2" s="39" t="inlineStr">
        <is>
          <t>QA-Evidence/DO-01/</t>
        </is>
      </c>
      <c r="I2" s="39" t="inlineStr">
        <is>
          <t>Claude Code (automated pre-audit)</t>
        </is>
      </c>
      <c r="J2" s="38" t="inlineStr">
        <is>
          <t>2026-08-21</t>
        </is>
      </c>
      <c r="K2" s="39" t="inlineStr">
        <is>
          <t>Split verdict folded per instruction, strictest reading. PROVEN locally: .github/workflows/ci.yml exists with all five steps (typecheck, lint, unit tests, claims gate, build); seeded lint error on temp branch qa/do01-lint-seed made pnpm lint exit 1 (archived), clean tree passes lint + 25/25 vitest tests, typecheck/claims/build pass per CA-02/CA-10 and the running production build; checkout restored. NOT verifiable here: GitHub-side enforcement (branch protection/required checks on main) - gh CLI absent and REST returns 403 (no GitHub App access in session); origin main is still at the initial commit with work unmerged on a feature branch, so no PR has exercised the gate. Also noted: docs/07 T0.4's Playwright shell, axe and Lighthouse CI steps are absent from ci.yml, with an in-file deferral comment tracking them to E5/E6.</t>
        </is>
      </c>
    </row>
    <row r="3" ht="23.85" customHeight="1" s="23">
      <c r="A3" s="36" t="inlineStr">
        <is>
          <t>DO-02</t>
        </is>
      </c>
      <c r="B3" s="37" t="inlineStr">
        <is>
          <t>Staging auto-deploy</t>
        </is>
      </c>
      <c r="C3" s="37" t="inlineStr">
        <is>
          <t>Merge to main; watch Action</t>
        </is>
      </c>
      <c r="D3" s="37" t="inlineStr">
        <is>
          <t>Builds on server, health check passes, symlink flips</t>
        </is>
      </c>
      <c r="E3" s="36" t="inlineStr">
        <is>
          <t>08 s6</t>
        </is>
      </c>
      <c r="F3" s="36" t="inlineStr">
        <is>
          <t>M</t>
        </is>
      </c>
      <c r="G3" s="38" t="inlineStr">
        <is>
          <t>Blocked</t>
        </is>
      </c>
      <c r="H3" s="39" t="inlineStr">
        <is>
          <t>QA-Evidence/DO-02/</t>
        </is>
      </c>
      <c r="I3" s="39" t="inlineStr">
        <is>
          <t>Claude Code (automated pre-audit)</t>
        </is>
      </c>
      <c r="J3" s="38" t="inlineStr">
        <is>
          <t>2026-08-21</t>
        </is>
      </c>
      <c r="K3" s="39" t="inlineStr">
        <is>
          <t>No live Actions run history available pre-staging. Pre-check: ci.yml exists, triggers on PR + push to main, runs typecheck/lint/unit/check:claims/build per docs/08 s6. Deviation: axe and Lighthouse CI budget steps NOT present — YAML documents deferral until a preview environment exists (docs/07 E5/E6). Branch protection (merge blocked on red) not verifiable from the clone.</t>
        </is>
      </c>
    </row>
    <row r="4" ht="15" customHeight="1" s="23">
      <c r="A4" s="36" t="inlineStr">
        <is>
          <t>DO-03</t>
        </is>
      </c>
      <c r="B4" s="37" t="inlineStr">
        <is>
          <t>Production approval deploy</t>
        </is>
      </c>
      <c r="C4" s="37" t="inlineStr">
        <is>
          <t>Tag v-test with approval step</t>
        </is>
      </c>
      <c r="D4" s="37" t="inlineStr">
        <is>
          <t>Deploys only after manual approval</t>
        </is>
      </c>
      <c r="E4" s="36" t="inlineStr">
        <is>
          <t>08 s6</t>
        </is>
      </c>
      <c r="F4" s="36" t="inlineStr">
        <is>
          <t>M</t>
        </is>
      </c>
      <c r="G4" s="38" t="inlineStr">
        <is>
          <t>Blocked</t>
        </is>
      </c>
      <c r="H4" s="39" t="inlineStr">
        <is>
          <t>QA-Evidence/DO-03/</t>
        </is>
      </c>
      <c r="I4" s="39" t="inlineStr">
        <is>
          <t>Claude Code (automated pre-audit)</t>
        </is>
      </c>
      <c r="J4" s="38" t="inlineStr">
        <is>
          <t>2026-08-21</t>
        </is>
      </c>
      <c r="K4" s="39" t="inlineStr">
        <is>
          <t>Inert until HOSTPOINT_* secrets exist (workflow self-skips). Pre-check vs docs/08 s6: deploy-staging.yml matches the prescribed flow (SSH deploy key, releases/&lt;sha&gt; worktree, on-server pnpm install+build for FreeBSD natives, health-check 3002, symlink flip, supervisorctl restart) with two deviations: no Payload-migrations step (E2 not built) and the health check is 'curl ... || true' so a failing check does NOT abort before the symlink flip — weaker than spec intent.</t>
        </is>
      </c>
    </row>
    <row r="5" ht="15" customHeight="1" s="23">
      <c r="A5" s="36" t="inlineStr">
        <is>
          <t>DO-04</t>
        </is>
      </c>
      <c r="B5" s="37" t="inlineStr">
        <is>
          <t>Rollback drill</t>
        </is>
      </c>
      <c r="C5" s="37" t="inlineStr">
        <is>
          <t>Repoint symlink to previous release</t>
        </is>
      </c>
      <c r="D5" s="37" t="inlineStr">
        <is>
          <t>Site restored under 5 minutes; documented</t>
        </is>
      </c>
      <c r="E5" s="36" t="inlineStr">
        <is>
          <t>08 s6</t>
        </is>
      </c>
      <c r="F5" s="36" t="inlineStr">
        <is>
          <t>C</t>
        </is>
      </c>
      <c r="G5" s="38" t="inlineStr">
        <is>
          <t>Blocked</t>
        </is>
      </c>
      <c r="H5" s="39" t="inlineStr">
        <is>
          <t>QA-Evidence/DO-04/</t>
        </is>
      </c>
      <c r="I5" s="39" t="inlineStr">
        <is>
          <t>Claude Code (automated pre-audit)</t>
        </is>
      </c>
      <c r="J5" s="38" t="inlineStr">
        <is>
          <t>2026-08-21</t>
        </is>
      </c>
      <c r="K5" s="39" t="inlineStr">
        <is>
          <t>Requires Hostpoint pipeline. Pre-check note: no production deploy workflow file (tag v* + manual approval per docs/08 s6) exists yet in .github/workflows/ — open build item.</t>
        </is>
      </c>
    </row>
    <row r="6" ht="15" customHeight="1" s="23">
      <c r="A6" s="36" t="inlineStr">
        <is>
          <t>DO-05</t>
        </is>
      </c>
      <c r="B6" s="37" t="inlineStr">
        <is>
          <t>Process resilience</t>
        </is>
      </c>
      <c r="C6" s="37" t="inlineStr">
        <is>
          <t>Kill the node process; reboot server in window</t>
        </is>
      </c>
      <c r="D6" s="37" t="inlineStr">
        <is>
          <t>supervisord restarts; autostart after reboot</t>
        </is>
      </c>
      <c r="E6" s="36" t="inlineStr">
        <is>
          <t>08 s2</t>
        </is>
      </c>
      <c r="F6" s="36" t="inlineStr">
        <is>
          <t>M</t>
        </is>
      </c>
      <c r="G6" s="38" t="inlineStr">
        <is>
          <t>Blocked</t>
        </is>
      </c>
      <c r="H6" s="39" t="inlineStr">
        <is>
          <t>QA-Evidence/DO-05/</t>
        </is>
      </c>
      <c r="I6" s="39" t="inlineStr">
        <is>
          <t>Claude Code (automated pre-audit)</t>
        </is>
      </c>
      <c r="J6" s="38" t="inlineStr">
        <is>
          <t>2026-08-21</t>
        </is>
      </c>
      <c r="K6" s="39" t="inlineStr">
        <is>
          <t>Rollback drill needs the server's releases/current symlink layout; no server pre-staging.</t>
        </is>
      </c>
    </row>
    <row r="7" ht="15" customHeight="1" s="23">
      <c r="A7" s="36" t="inlineStr">
        <is>
          <t>DO-06</t>
        </is>
      </c>
      <c r="B7" s="37" t="inlineStr">
        <is>
          <t>Log rotation</t>
        </is>
      </c>
      <c r="C7" s="37" t="inlineStr">
        <is>
          <t>Inspect CSC logs</t>
        </is>
      </c>
      <c r="D7" s="37" t="inlineStr">
        <is>
          <t>Rotating per config</t>
        </is>
      </c>
      <c r="E7" s="36" t="inlineStr">
        <is>
          <t>08 s2</t>
        </is>
      </c>
      <c r="F7" s="36" t="inlineStr">
        <is>
          <t>Mn</t>
        </is>
      </c>
      <c r="G7" s="38" t="inlineStr">
        <is>
          <t>Blocked</t>
        </is>
      </c>
      <c r="H7" s="39" t="inlineStr">
        <is>
          <t>QA-Evidence/DO-06/</t>
        </is>
      </c>
      <c r="I7" s="39" t="inlineStr">
        <is>
          <t>Claude Code (automated pre-audit)</t>
        </is>
      </c>
      <c r="J7" s="38" t="inlineStr">
        <is>
          <t>2026-08-21</t>
        </is>
      </c>
      <c r="K7" s="39" t="inlineStr">
        <is>
          <t>Custom Service Control/supervisord restart-survival (docs/08 s2, spike S0 step 4) requires the Hostpoint server.</t>
        </is>
      </c>
    </row>
    <row r="8" ht="15" customHeight="1" s="23">
      <c r="A8" s="36" t="inlineStr">
        <is>
          <t>DO-07</t>
        </is>
      </c>
      <c r="B8" s="37" t="inlineStr">
        <is>
          <t>Alerting works</t>
        </is>
      </c>
      <c r="C8" s="37" t="inlineStr">
        <is>
          <t>Stop the service briefly</t>
        </is>
      </c>
      <c r="D8" s="37" t="inlineStr">
        <is>
          <t>Uptime alert received by owners</t>
        </is>
      </c>
      <c r="E8" s="36" t="inlineStr">
        <is>
          <t>07 T7.5</t>
        </is>
      </c>
      <c r="F8" s="36" t="inlineStr">
        <is>
          <t>M</t>
        </is>
      </c>
      <c r="G8" s="38" t="inlineStr">
        <is>
          <t>Blocked</t>
        </is>
      </c>
      <c r="H8" s="39" t="inlineStr">
        <is>
          <t>QA-Evidence/DO-07/</t>
        </is>
      </c>
      <c r="I8" s="39" t="inlineStr">
        <is>
          <t>Claude Code (automated pre-audit)</t>
        </is>
      </c>
      <c r="J8" s="38" t="inlineStr">
        <is>
          <t>2026-08-21</t>
        </is>
      </c>
      <c r="K8" s="39" t="inlineStr">
        <is>
          <t>Monitoring/alerting requires the host. Local pre-check: GET /api/health returns 200 JSON on the QA server.</t>
        </is>
      </c>
    </row>
    <row r="9" ht="15" customHeight="1" s="23">
      <c r="A9" s="36" t="inlineStr">
        <is>
          <t>DO-08</t>
        </is>
      </c>
      <c r="B9" s="37" t="inlineStr">
        <is>
          <t>DNS and SSL review</t>
        </is>
      </c>
      <c r="C9" s="37" t="inlineStr">
        <is>
          <t>Panel review: records, HSTS, redirects, www policy</t>
        </is>
      </c>
      <c r="D9" s="37" t="inlineStr">
        <is>
          <t>Per docs 06 s5 and 08 s3</t>
        </is>
      </c>
      <c r="E9" s="36" t="inlineStr">
        <is>
          <t>08 s3</t>
        </is>
      </c>
      <c r="F9" s="36" t="inlineStr">
        <is>
          <t>M</t>
        </is>
      </c>
      <c r="G9" s="38" t="inlineStr">
        <is>
          <t>Blocked</t>
        </is>
      </c>
      <c r="H9" s="39" t="inlineStr">
        <is>
          <t>QA-Evidence/DO-08/</t>
        </is>
      </c>
      <c r="I9" s="39" t="inlineStr">
        <is>
          <t>Claude Code (automated pre-audit)</t>
        </is>
      </c>
      <c r="J9" s="38" t="inlineStr">
        <is>
          <t>2026-08-21</t>
        </is>
      </c>
      <c r="K9" s="39" t="inlineStr">
        <is>
          <t>DNS cutover/domain wiring (apex, www 301, staging subdomain per docs/08 s3) requires the Hostpoint Control Panel and DNS zone; none exist.</t>
        </is>
      </c>
    </row>
    <row r="10" ht="15" customHeight="1" s="23">
      <c r="A10" s="36" t="inlineStr">
        <is>
          <t>DO-09</t>
        </is>
      </c>
      <c r="B10" s="37" t="inlineStr">
        <is>
          <t>Staging protected</t>
        </is>
      </c>
      <c r="C10" s="37" t="inlineStr">
        <is>
          <t>Open staging logged out</t>
        </is>
      </c>
      <c r="D10" s="37" t="inlineStr">
        <is>
          <t>Password prompt; robots disallow</t>
        </is>
      </c>
      <c r="E10" s="36" t="inlineStr">
        <is>
          <t>08 s3</t>
        </is>
      </c>
      <c r="F10" s="36" t="inlineStr">
        <is>
          <t>C</t>
        </is>
      </c>
      <c r="G10" s="38" t="inlineStr">
        <is>
          <t>Blocked</t>
        </is>
      </c>
      <c r="H10" s="39" t="inlineStr">
        <is>
          <t>QA-Evidence/DO-09/</t>
        </is>
      </c>
      <c r="I10" s="39" t="inlineStr">
        <is>
          <t>Claude Code (automated pre-audit)</t>
        </is>
      </c>
      <c r="J10" s="38" t="inlineStr">
        <is>
          <t>2026-08-21</t>
        </is>
      </c>
      <c r="K10" s="39" t="inlineStr">
        <is>
          <t>Staging host does not exist, but staging-mode robots behaviour verified on this server (NEXT_PUBLIC_ENV unset = staging semantics): GET /robots.txt returns 'User-Agent: * / Disallow: /' (HTTP 200). Remaining scope (basic auth on staging.skaahhospitality.com, prod robots allow) is server-side.</t>
        </is>
      </c>
    </row>
  </sheetData>
  <dataValidations count="1">
    <dataValidation sqref="G2:G10" showDropDown="0" showInputMessage="0" showErrorMessage="0" allowBlank="1" type="list" errorStyle="stop" operator="between">
      <formula1>"Pass,Fail,Blocked,N.A."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A1:D1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zeroHeight="0" outlineLevelRow="0"/>
  <cols>
    <col width="56" customWidth="1" style="22" min="1" max="1"/>
    <col width="30" customWidth="1" style="22" min="2" max="2"/>
    <col width="12" customWidth="1" style="22" min="3" max="3"/>
    <col width="16" customWidth="1" style="22" min="4" max="4"/>
  </cols>
  <sheetData>
    <row r="1" ht="15" customHeight="1" s="23">
      <c r="A1" s="31" t="inlineStr">
        <is>
          <t>SoW 13 criterion</t>
        </is>
      </c>
      <c r="B1" s="31" t="inlineStr">
        <is>
          <t>Evidence source</t>
        </is>
      </c>
      <c r="C1" s="31" t="inlineStr">
        <is>
          <t>Status</t>
        </is>
      </c>
      <c r="D1" s="31" t="inlineStr">
        <is>
          <t>Sign-off</t>
        </is>
      </c>
    </row>
    <row r="2" ht="23.85" customHeight="1" s="23">
      <c r="A2" s="37" t="inlineStr">
        <is>
          <t>1. All 27 pages plus legal complete in English; zero TO CONFIRM in production</t>
        </is>
      </c>
      <c r="B2" s="37" t="inlineStr">
        <is>
          <t>Sheets 1, 2</t>
        </is>
      </c>
      <c r="C2" s="40" t="inlineStr">
        <is>
          <t>NOT MET: all 27 pages complete and copy-faithful (CC-01 Pass) but 78 [TO CONFIRM] markers open; production build correctly blocked by the claims gate (CA-11).</t>
        </is>
      </c>
      <c r="D2" s="40" t="n"/>
    </row>
    <row r="3" ht="23.85" customHeight="1" s="23">
      <c r="A3" s="37" t="inlineStr">
        <is>
          <t>2. Every enquiry segment tested end to end incl. attachments, mail, payload, sheet, flags</t>
        </is>
      </c>
      <c r="B3" s="37" t="inlineStr">
        <is>
          <t>Sheet 3</t>
        </is>
      </c>
      <c r="C3" s="40" t="inlineStr">
        <is>
          <t>PARTIALLY MET: all six segments pass end to end at API and UI level incl. 95 MB upload, sniffing, flags, payload schema (FE-01 to FE-16, FE-19); mailbox, acknowledgement and sheet delivery Blocked pending Hostpoint (FE-17/18/20).</t>
        </is>
      </c>
      <c r="D3" s="40" t="n"/>
    </row>
    <row r="4" ht="23.85" customHeight="1" s="23">
      <c r="A4" s="37" t="inlineStr">
        <is>
          <t>3. Core Web Vitals pass with film enabled; WCAG 2.2 AA with no critical issues</t>
        </is>
      </c>
      <c r="B4" s="37" t="inlineStr">
        <is>
          <t>Sheets 5, 6</t>
        </is>
      </c>
      <c r="C4" s="40" t="inlineStr">
        <is>
          <t>PARTIALLY MET after round 2: axe zero critical AND zero colour-contrast nodes across templates (AC-01/AC-05); CLS now 0 on all five audited templates (PF-05 fixed); lab LCP 3.0 s vs 2.0 s budget remains on 4 routes pending the designed poster LCP element (PF-01 to 04); screen-reader passes pending human audit.</t>
        </is>
      </c>
      <c r="D4" s="40" t="n"/>
    </row>
    <row r="5" ht="23.85" customHeight="1" s="23">
      <c r="A5" s="37" t="inlineStr">
        <is>
          <t>4. Structured data error-free; 301 redirects live; sitemap and robots correct</t>
        </is>
      </c>
      <c r="B5" s="37" t="inlineStr">
        <is>
          <t>Sheet 4</t>
        </is>
      </c>
      <c r="C5" s="40" t="inlineStr">
        <is>
          <t>PARTIALLY MET: JSON-LD structurally valid, 137 blocks, zero errors (SS-05); sitemap and robots correct (SS-03/04); app-level redirects live (SS-07); legacy skaah.com 301s pending Hostpoint DNS.</t>
        </is>
      </c>
      <c r="D5" s="40" t="n"/>
    </row>
    <row r="6" ht="15" customHeight="1" s="23">
      <c r="A6" s="37" t="inlineStr">
        <is>
          <t>5. Analytics and consent verified for all segments and tap events</t>
        </is>
      </c>
      <c r="B6" s="37" t="inlineStr">
        <is>
          <t>Sheet 4</t>
        </is>
      </c>
      <c r="C6" s="40" t="inlineStr">
        <is>
          <t>PARTIALLY MET after round 2: consent gating proven (SS-14); 11 of 13 events now wired incl. article_read and phone_click (SS-13 fixed), film events await the film; live firing awaits the Plausible domain.</t>
        </is>
      </c>
      <c r="D6" s="40" t="n"/>
    </row>
    <row r="7" ht="15" customHeight="1" s="23">
      <c r="A7" s="37" t="inlineStr">
        <is>
          <t>6. Cross-browser and device matrix executed and documented</t>
        </is>
      </c>
      <c r="B7" s="37" t="inlineStr">
        <is>
          <t>Sheet 8</t>
        </is>
      </c>
      <c r="C7" s="40" t="inlineStr">
        <is>
          <t>PARTIALLY MET: Chromium desktop, emulated Android and 360/768/1440 widths pass with full journeys (CM-01/06/08/09/10); Safari, Firefox, Edge, iOS and iPad Blocked pre-staging (CM-02 to 05, 07).</t>
        </is>
      </c>
      <c r="D7" s="40" t="n"/>
    </row>
    <row r="8" ht="23.85" customHeight="1" s="23">
      <c r="A8" s="37" t="inlineStr">
        <is>
          <t>7. Content approved by the CEO; naming permissions checklist complete or fallback live</t>
        </is>
      </c>
      <c r="B8" s="37" t="inlineStr">
        <is>
          <t>Sheet 2 + consent file</t>
        </is>
      </c>
      <c r="C8" s="40" t="inlineStr">
        <is>
          <t>PENDING: fallback copy live everywhere with zero named states (CC-02/03/04 Pass); CEO content approval, the consent checklist and the human hero read test (CC-14) outstanding.</t>
        </is>
      </c>
      <c r="D8" s="40" t="n"/>
    </row>
    <row r="9" ht="23.85" customHeight="1" s="23">
      <c r="A9" s="37" t="inlineStr">
        <is>
          <t>8. Editor trained; documentation and export demonstrated; accounts SKAAH-owned</t>
        </is>
      </c>
      <c r="B9" s="37" t="inlineStr">
        <is>
          <t>Sheets 9, 1, 10</t>
        </is>
      </c>
      <c r="C9" s="40" t="inlineStr">
        <is>
          <t>NOT MET: CMS not embedded so editor tasks are Blocked (sheet 9); export runs but is incomplete (CA-12 defect); training and account handover pending.</t>
        </is>
      </c>
      <c r="D9" s="40" t="n"/>
    </row>
    <row r="10"/>
    <row r="11" ht="15" customHeight="1" s="23">
      <c r="A11" s="27" t="inlineStr">
        <is>
          <t>Severity rule: Critical and Major block launch. Minor issues may launch only if logged with owner and a 30 day fix date, approved by the CEO with CTO sign-off.</t>
        </is>
      </c>
    </row>
    <row r="12"/>
    <row r="13" ht="15" customHeight="1" s="23">
      <c r="A13" s="41" t="inlineStr">
        <is>
          <t>Sign-off</t>
        </is>
      </c>
    </row>
    <row r="14" ht="15" customHeight="1" s="23">
      <c r="A14" s="31" t="inlineStr">
        <is>
          <t>Role and name</t>
        </is>
      </c>
      <c r="B14" s="31" t="inlineStr">
        <is>
          <t>Signature / initials</t>
        </is>
      </c>
      <c r="C14" s="31" t="inlineStr">
        <is>
          <t>Date</t>
        </is>
      </c>
      <c r="D14" s="31" t="inlineStr">
        <is>
          <t>Decision</t>
        </is>
      </c>
    </row>
    <row r="15" ht="15" customHeight="1" s="23">
      <c r="A15" s="32" t="inlineStr">
        <is>
          <t>First-line QA: Ms. Revathi Meegada</t>
        </is>
      </c>
      <c r="B15" s="42" t="n"/>
      <c r="C15" s="42" t="n"/>
      <c r="D15" s="42" t="n"/>
    </row>
    <row r="16" ht="15" customHeight="1" s="23">
      <c r="A16" s="32" t="inlineStr">
        <is>
          <t>Technical and code audit: Mr. Hanuma Kuna, CTO</t>
        </is>
      </c>
      <c r="B16" s="42" t="n"/>
      <c r="C16" s="42" t="n"/>
      <c r="D16" s="42" t="n"/>
    </row>
    <row r="17" ht="15" customHeight="1" s="23">
      <c r="A17" s="32" t="inlineStr">
        <is>
          <t>Functional review: Mr. Varaprasad</t>
        </is>
      </c>
      <c r="B17" s="42" t="n"/>
      <c r="C17" s="42" t="n"/>
      <c r="D17" s="42" t="n"/>
    </row>
    <row r="18" ht="15" customHeight="1" s="23">
      <c r="A18" s="32" t="inlineStr">
        <is>
          <t>Final decision: Mr. Amar Kavi, CEO</t>
        </is>
      </c>
      <c r="B18" s="42" t="n"/>
      <c r="C18" s="42" t="n"/>
      <c r="D18" s="42" t="n"/>
    </row>
    <row r="19" ht="15" customHeight="1" s="23">
      <c r="A19" s="27" t="inlineStr">
        <is>
          <t>Final decision (CEO): Ready / Ready with logged minors / Not ready</t>
        </is>
      </c>
      <c r="B19" s="42" t="n"/>
    </row>
  </sheetData>
  <mergeCells count="1">
    <mergeCell ref="A11:D11"/>
  </mergeCells>
  <dataValidations count="1">
    <dataValidation sqref="C2:C9" showDropDown="0" showInputMessage="0" showErrorMessage="0" allowBlank="1" type="list" errorStyle="stop" operator="between">
      <formula1>"Met,Met with logged minors,Not met"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2026-08-21T21:50:26Z</dcterms:created>
  <dcterms:modified xsi:type="dcterms:W3CDTF">2026-08-21T23:45:58Z</dcterms:modified>
  <cp:revision>0</cp:revision>
</cp:coreProperties>
</file>